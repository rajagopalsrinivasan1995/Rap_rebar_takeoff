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keoff" state="visible" r:id="rId4"/>
    <sheet sheetId="2" name="Summary" state="visible" r:id="rId5"/>
    <sheet sheetId="3" name="Read Me" state="visible" r:id="rId6"/>
    <sheet sheetId="4" name="Bar Weights" state="visible" r:id="rId7"/>
  </sheets>
  <calcPr calcId="171027" fullCalcOnLoad="1"/>
</workbook>
</file>

<file path=xl/sharedStrings.xml><?xml version="1.0" encoding="utf-8"?>
<sst xmlns="http://schemas.openxmlformats.org/spreadsheetml/2006/main" count="84" uniqueCount="67">
  <si>
    <t>REBAR ESTIMATION TAKEOFF</t>
  </si>
  <si>
    <t>Enter project details in yellow cells. Blue/gray cells calculate automatically.</t>
  </si>
  <si>
    <t>Count formula: (run length in inches / spacing, rounded up) + 1, multiplied by runs. Enter Qty Override to use a known total instead.</t>
  </si>
  <si>
    <t>Mark</t>
  </si>
  <si>
    <t>Level / Area</t>
  </si>
  <si>
    <t>Element</t>
  </si>
  <si>
    <t>Location</t>
  </si>
  <si>
    <t>Bar Size</t>
  </si>
  <si>
    <t>Shape</t>
  </si>
  <si>
    <t>Spacing (in)</t>
  </si>
  <si>
    <t>Run Length (ft)</t>
  </si>
  <si>
    <t>Runs</t>
  </si>
  <si>
    <t>Qty Override</t>
  </si>
  <si>
    <t>Calculated Qty</t>
  </si>
  <si>
    <t>Total Qty</t>
  </si>
  <si>
    <t>Length / Bar (ft)</t>
  </si>
  <si>
    <t>Total Length (ft)</t>
  </si>
  <si>
    <t>Unit Wt (lb/ft)</t>
  </si>
  <si>
    <t>Total Weight (lb)</t>
  </si>
  <si>
    <t>REBAR TAKEOFF SUMMARY</t>
  </si>
  <si>
    <t>BAR SIZE</t>
  </si>
  <si>
    <t>TOTAL LENGTH (ft)</t>
  </si>
  <si>
    <t>TOTAL WEIGHT (lb)</t>
  </si>
  <si>
    <t>TOTAL QTY</t>
  </si>
  <si>
    <t>ELEMENT</t>
  </si>
  <si>
    <t>#3</t>
  </si>
  <si>
    <t>Footing</t>
  </si>
  <si>
    <t>#4</t>
  </si>
  <si>
    <t>Column</t>
  </si>
  <si>
    <t>#5</t>
  </si>
  <si>
    <t>Beam</t>
  </si>
  <si>
    <t>#6</t>
  </si>
  <si>
    <t>Slab</t>
  </si>
  <si>
    <t>#7</t>
  </si>
  <si>
    <t>Wall</t>
  </si>
  <si>
    <t>#8</t>
  </si>
  <si>
    <t>Stair</t>
  </si>
  <si>
    <t>#9</t>
  </si>
  <si>
    <t>Other</t>
  </si>
  <si>
    <t>#10</t>
  </si>
  <si>
    <t>#11</t>
  </si>
  <si>
    <t>#14</t>
  </si>
  <si>
    <t>#18</t>
  </si>
  <si>
    <t>HOW TO USE THIS REBAR TAKEOFF</t>
  </si>
  <si>
    <t>Imperial units: inches, feet, pounds.</t>
  </si>
  <si>
    <t>Step</t>
  </si>
  <si>
    <t>Instructions</t>
  </si>
  <si>
    <t>1</t>
  </si>
  <si>
    <t>Enter one line per bar mark / location on the Takeoff tab. Use the yellow cells for inputs.</t>
  </si>
  <si>
    <t>2</t>
  </si>
  <si>
    <t>Select a bar size. Standard U.S. reinforcing bar nominal weights are provided on Bar Weights.</t>
  </si>
  <si>
    <t>3</t>
  </si>
  <si>
    <t>For regularly spaced bars, enter Spacing, Run Length, and Runs; calculated quantity includes one bar at each end.</t>
  </si>
  <si>
    <t>4</t>
  </si>
  <si>
    <t>For a known count or irregular layout, enter Qty Override. It takes precedence over Calculated Qty.</t>
  </si>
  <si>
    <t>5</t>
  </si>
  <si>
    <t>Enter the cut length of one bar in feet in Length / Bar. Include hooks/bends in this length as applicable.</t>
  </si>
  <si>
    <t>6</t>
  </si>
  <si>
    <t>Review Summary for total quantities, lengths, and estimated weights by bar size and element.</t>
  </si>
  <si>
    <t>Important</t>
  </si>
  <si>
    <t>Unit weights are standard nominal values. This is a planning estimate, not a certified fabrication schedule.</t>
  </si>
  <si>
    <t>This template does not add lap splice, development, coupler, coating, or waste allowances. Add them to lengths/quantities per project specifications.</t>
  </si>
  <si>
    <t>Verify bar sizes, detailing, cover, splice requirements, and applicable code against approved structural drawings and project specifications.</t>
  </si>
  <si>
    <t>STANDARD U.S. REBAR UNIT WEIGHTS</t>
  </si>
  <si>
    <t>Unit Weight (lb/ft)</t>
  </si>
  <si>
    <t>Source note</t>
  </si>
  <si>
    <t>Nominal U.S. bar weights; confirm with project specifications / supplier.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</si>
</sst>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.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ptos"/>
    </font>
    <font>
      <sz val="10"/>
      <name val="Aptos"/>
    </font>
    <font>
      <i/>
      <color rgb="FF404040"/>
      <sz val="10"/>
      <name val="Aptos"/>
    </font>
    <font>
      <color rgb="FF404040"/>
      <sz val="9"/>
      <name val="Aptos"/>
    </font>
    <font>
      <b/>
      <color rgb="FFFFFFFF"/>
      <sz val="9"/>
      <name val="Aptos"/>
    </font>
    <font>
      <b/>
      <sz val="11"/>
      <name val="Aptos"/>
    </font>
    <font>
      <i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vertical="center"/>
    </xf>
    <xf numFmtId="166" fontId="2" fillId="0" borderId="0" xfId="0" applyNumberFormat="1" applyFont="1"/>
    <xf numFmtId="166" fontId="3" fillId="0" borderId="0" xfId="0" applyNumberFormat="1" applyFont="1"/>
    <xf numFmtId="166" fontId="4" fillId="0" borderId="0" xfId="0" applyNumberFormat="1" applyFont="1" applyAlignment="1">
      <alignment vertical="center" wrapText="1"/>
    </xf>
    <xf numFmtId="166" fontId="5" fillId="3" borderId="0" xfId="0" applyNumberFormat="1" applyFont="1" applyFill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  <xf numFmtId="2" fontId="0" fillId="4" borderId="1" xfId="0" applyNumberFormat="1" applyFill="1" applyBorder="1"/>
    <xf numFmtId="1" fontId="0" fillId="4" borderId="1" xfId="0" applyNumberFormat="1" applyFill="1" applyBorder="1"/>
    <xf numFmtId="1" fontId="2" fillId="5" borderId="1" xfId="0" applyNumberFormat="1" applyFont="1" applyFill="1" applyBorder="1"/>
    <xf numFmtId="2" fontId="2" fillId="5" borderId="1" xfId="0" applyNumberFormat="1" applyFont="1" applyFill="1" applyBorder="1"/>
    <xf numFmtId="165" fontId="2" fillId="5" borderId="1" xfId="0" applyNumberFormat="1" applyFont="1" applyFill="1" applyBorder="1"/>
    <xf numFmtId="166" fontId="2" fillId="5" borderId="1" xfId="0" applyNumberFormat="1" applyFont="1" applyFill="1" applyBorder="1"/>
    <xf numFmtId="4" fontId="0" fillId="0" borderId="0" xfId="0" applyNumberFormat="1"/>
    <xf numFmtId="0" fontId="6" fillId="6" borderId="0" xfId="0" applyFont="1" applyFill="1"/>
    <xf numFmtId="4" fontId="6" fillId="6" borderId="0" xfId="0" applyNumberFormat="1" applyFont="1" applyFill="1"/>
    <xf numFmtId="1" fontId="6" fillId="6" borderId="0" xfId="0" applyNumberFormat="1" applyFont="1" applyFill="1"/>
    <xf numFmtId="0" fontId="7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9" customWidth="1"/>
    <col min="5" max="5" width="12" customWidth="1"/>
    <col min="6" max="6" width="16" customWidth="1"/>
    <col min="7" max="7" width="13" style="1" customWidth="1"/>
    <col min="8" max="8" width="16" style="2" customWidth="1"/>
    <col min="9" max="9" width="10" style="3" customWidth="1"/>
    <col min="10" max="10" width="14" style="3" customWidth="1"/>
    <col min="11" max="11" width="15" style="3" customWidth="1"/>
    <col min="12" max="12" width="12" style="3" customWidth="1"/>
    <col min="13" max="13" width="17" style="2" customWidth="1"/>
    <col min="14" max="14" width="18" style="2" customWidth="1"/>
    <col min="15" max="15" width="17" style="4" customWidth="1"/>
    <col min="16" max="16" width="19" style="5" customWidth="1"/>
  </cols>
  <sheetData>
    <row r="1" ht="28" customHeight="1" spans="1:16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ht="30" customHeight="1" spans="1:16" x14ac:dyDescent="0.25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ht="34" customHeight="1" spans="1:16" x14ac:dyDescent="0.25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 t="s">
        <v>15</v>
      </c>
      <c r="N5" s="10" t="s">
        <v>16</v>
      </c>
      <c r="O5" s="10" t="s">
        <v>17</v>
      </c>
      <c r="P5" s="10" t="s">
        <v>18</v>
      </c>
    </row>
    <row r="6" spans="1:16" x14ac:dyDescent="0.25">
      <c r="A6" s="11"/>
      <c r="B6" s="11"/>
      <c r="C6" s="11"/>
      <c r="D6" s="11"/>
      <c r="E6" s="11"/>
      <c r="F6" s="11"/>
      <c r="G6" s="12"/>
      <c r="H6" s="13"/>
      <c r="I6" s="14"/>
      <c r="J6" s="14"/>
      <c r="K6" s="15">
        <f>IF(AND(G6&gt;0,H6&gt;0,I6&gt;0),(ROUNDUP(H6*12/G6,0)+1)*I6,"")</f>
      </c>
      <c r="L6" s="15">
        <f>IF(J6&gt;0,J6,IF(K6&gt;0,K6,""))</f>
      </c>
      <c r="M6" s="13"/>
      <c r="N6" s="16">
        <f>IF(AND(L6&gt;0,M6&gt;0),L6*M6,"")</f>
      </c>
      <c r="O6" s="17">
        <f>IFERROR(VLOOKUP(E6,'Bar Weights'!$A$3:$B$13,2,FALSE),"")</f>
      </c>
      <c r="P6" s="18">
        <f>IF(AND(N6&gt;0,O6&gt;0),N6*O6,"")</f>
      </c>
    </row>
    <row r="7" spans="1:16" x14ac:dyDescent="0.25">
      <c r="A7" s="11"/>
      <c r="B7" s="11"/>
      <c r="C7" s="11"/>
      <c r="D7" s="11"/>
      <c r="E7" s="11"/>
      <c r="F7" s="11"/>
      <c r="G7" s="12"/>
      <c r="H7" s="13"/>
      <c r="I7" s="14"/>
      <c r="J7" s="14"/>
      <c r="K7" s="15">
        <f>IF(AND(G7&gt;0,H7&gt;0,I7&gt;0),(ROUNDUP(H7*12/G7,0)+1)*I7,"")</f>
      </c>
      <c r="L7" s="15">
        <f>IF(J7&gt;0,J7,IF(K7&gt;0,K7,""))</f>
      </c>
      <c r="M7" s="13"/>
      <c r="N7" s="16">
        <f>IF(AND(L7&gt;0,M7&gt;0),L7*M7,"")</f>
      </c>
      <c r="O7" s="17">
        <f>IFERROR(VLOOKUP(E7,'Bar Weights'!$A$3:$B$13,2,FALSE),"")</f>
      </c>
      <c r="P7" s="18">
        <f>IF(AND(N7&gt;0,O7&gt;0),N7*O7,"")</f>
      </c>
    </row>
    <row r="8" spans="1:16" x14ac:dyDescent="0.25">
      <c r="A8" s="11"/>
      <c r="B8" s="11"/>
      <c r="C8" s="11"/>
      <c r="D8" s="11"/>
      <c r="E8" s="11"/>
      <c r="F8" s="11"/>
      <c r="G8" s="12"/>
      <c r="H8" s="13"/>
      <c r="I8" s="14"/>
      <c r="J8" s="14"/>
      <c r="K8" s="15">
        <f>IF(AND(G8&gt;0,H8&gt;0,I8&gt;0),(ROUNDUP(H8*12/G8,0)+1)*I8,"")</f>
      </c>
      <c r="L8" s="15">
        <f>IF(J8&gt;0,J8,IF(K8&gt;0,K8,""))</f>
      </c>
      <c r="M8" s="13"/>
      <c r="N8" s="16">
        <f>IF(AND(L8&gt;0,M8&gt;0),L8*M8,"")</f>
      </c>
      <c r="O8" s="17">
        <f>IFERROR(VLOOKUP(E8,'Bar Weights'!$A$3:$B$13,2,FALSE),"")</f>
      </c>
      <c r="P8" s="18">
        <f>IF(AND(N8&gt;0,O8&gt;0),N8*O8,"")</f>
      </c>
    </row>
    <row r="9" spans="1:16" x14ac:dyDescent="0.25">
      <c r="A9" s="11"/>
      <c r="B9" s="11"/>
      <c r="C9" s="11"/>
      <c r="D9" s="11"/>
      <c r="E9" s="11"/>
      <c r="F9" s="11"/>
      <c r="G9" s="12"/>
      <c r="H9" s="13"/>
      <c r="I9" s="14"/>
      <c r="J9" s="14"/>
      <c r="K9" s="15">
        <f>IF(AND(G9&gt;0,H9&gt;0,I9&gt;0),(ROUNDUP(H9*12/G9,0)+1)*I9,"")</f>
      </c>
      <c r="L9" s="15">
        <f>IF(J9&gt;0,J9,IF(K9&gt;0,K9,""))</f>
      </c>
      <c r="M9" s="13"/>
      <c r="N9" s="16">
        <f>IF(AND(L9&gt;0,M9&gt;0),L9*M9,"")</f>
      </c>
      <c r="O9" s="17">
        <f>IFERROR(VLOOKUP(E9,'Bar Weights'!$A$3:$B$13,2,FALSE),"")</f>
      </c>
      <c r="P9" s="18">
        <f>IF(AND(N9&gt;0,O9&gt;0),N9*O9,"")</f>
      </c>
    </row>
    <row r="10" spans="1:16" x14ac:dyDescent="0.25">
      <c r="A10" s="11"/>
      <c r="B10" s="11"/>
      <c r="C10" s="11"/>
      <c r="D10" s="11"/>
      <c r="E10" s="11"/>
      <c r="F10" s="11"/>
      <c r="G10" s="12"/>
      <c r="H10" s="13"/>
      <c r="I10" s="14"/>
      <c r="J10" s="14"/>
      <c r="K10" s="15">
        <f>IF(AND(G10&gt;0,H10&gt;0,I10&gt;0),(ROUNDUP(H10*12/G10,0)+1)*I10,"")</f>
      </c>
      <c r="L10" s="15">
        <f>IF(J10&gt;0,J10,IF(K10&gt;0,K10,""))</f>
      </c>
      <c r="M10" s="13"/>
      <c r="N10" s="16">
        <f>IF(AND(L10&gt;0,M10&gt;0),L10*M10,"")</f>
      </c>
      <c r="O10" s="17">
        <f>IFERROR(VLOOKUP(E10,'Bar Weights'!$A$3:$B$13,2,FALSE),"")</f>
      </c>
      <c r="P10" s="18">
        <f>IF(AND(N10&gt;0,O10&gt;0),N10*O10,"")</f>
      </c>
    </row>
    <row r="11" spans="1:16" x14ac:dyDescent="0.25">
      <c r="A11" s="11"/>
      <c r="B11" s="11"/>
      <c r="C11" s="11"/>
      <c r="D11" s="11"/>
      <c r="E11" s="11"/>
      <c r="F11" s="11"/>
      <c r="G11" s="12"/>
      <c r="H11" s="13"/>
      <c r="I11" s="14"/>
      <c r="J11" s="14"/>
      <c r="K11" s="15">
        <f>IF(AND(G11&gt;0,H11&gt;0,I11&gt;0),(ROUNDUP(H11*12/G11,0)+1)*I11,"")</f>
      </c>
      <c r="L11" s="15">
        <f>IF(J11&gt;0,J11,IF(K11&gt;0,K11,""))</f>
      </c>
      <c r="M11" s="13"/>
      <c r="N11" s="16">
        <f>IF(AND(L11&gt;0,M11&gt;0),L11*M11,"")</f>
      </c>
      <c r="O11" s="17">
        <f>IFERROR(VLOOKUP(E11,'Bar Weights'!$A$3:$B$13,2,FALSE),"")</f>
      </c>
      <c r="P11" s="18">
        <f>IF(AND(N11&gt;0,O11&gt;0),N11*O11,"")</f>
      </c>
    </row>
    <row r="12" spans="1:16" x14ac:dyDescent="0.25">
      <c r="A12" s="11"/>
      <c r="B12" s="11"/>
      <c r="C12" s="11"/>
      <c r="D12" s="11"/>
      <c r="E12" s="11"/>
      <c r="F12" s="11"/>
      <c r="G12" s="12"/>
      <c r="H12" s="13"/>
      <c r="I12" s="14"/>
      <c r="J12" s="14"/>
      <c r="K12" s="15">
        <f>IF(AND(G12&gt;0,H12&gt;0,I12&gt;0),(ROUNDUP(H12*12/G12,0)+1)*I12,"")</f>
      </c>
      <c r="L12" s="15">
        <f>IF(J12&gt;0,J12,IF(K12&gt;0,K12,""))</f>
      </c>
      <c r="M12" s="13"/>
      <c r="N12" s="16">
        <f>IF(AND(L12&gt;0,M12&gt;0),L12*M12,"")</f>
      </c>
      <c r="O12" s="17">
        <f>IFERROR(VLOOKUP(E12,'Bar Weights'!$A$3:$B$13,2,FALSE),"")</f>
      </c>
      <c r="P12" s="18">
        <f>IF(AND(N12&gt;0,O12&gt;0),N12*O12,"")</f>
      </c>
    </row>
    <row r="13" spans="1:16" x14ac:dyDescent="0.25">
      <c r="A13" s="11"/>
      <c r="B13" s="11"/>
      <c r="C13" s="11"/>
      <c r="D13" s="11"/>
      <c r="E13" s="11"/>
      <c r="F13" s="11"/>
      <c r="G13" s="12"/>
      <c r="H13" s="13"/>
      <c r="I13" s="14"/>
      <c r="J13" s="14"/>
      <c r="K13" s="15">
        <f>IF(AND(G13&gt;0,H13&gt;0,I13&gt;0),(ROUNDUP(H13*12/G13,0)+1)*I13,"")</f>
      </c>
      <c r="L13" s="15">
        <f>IF(J13&gt;0,J13,IF(K13&gt;0,K13,""))</f>
      </c>
      <c r="M13" s="13"/>
      <c r="N13" s="16">
        <f>IF(AND(L13&gt;0,M13&gt;0),L13*M13,"")</f>
      </c>
      <c r="O13" s="17">
        <f>IFERROR(VLOOKUP(E13,'Bar Weights'!$A$3:$B$13,2,FALSE),"")</f>
      </c>
      <c r="P13" s="18">
        <f>IF(AND(N13&gt;0,O13&gt;0),N13*O13,"")</f>
      </c>
    </row>
    <row r="14" spans="1:16" x14ac:dyDescent="0.25">
      <c r="A14" s="11"/>
      <c r="B14" s="11"/>
      <c r="C14" s="11"/>
      <c r="D14" s="11"/>
      <c r="E14" s="11"/>
      <c r="F14" s="11"/>
      <c r="G14" s="12"/>
      <c r="H14" s="13"/>
      <c r="I14" s="14"/>
      <c r="J14" s="14"/>
      <c r="K14" s="15">
        <f>IF(AND(G14&gt;0,H14&gt;0,I14&gt;0),(ROUNDUP(H14*12/G14,0)+1)*I14,"")</f>
      </c>
      <c r="L14" s="15">
        <f>IF(J14&gt;0,J14,IF(K14&gt;0,K14,""))</f>
      </c>
      <c r="M14" s="13"/>
      <c r="N14" s="16">
        <f>IF(AND(L14&gt;0,M14&gt;0),L14*M14,"")</f>
      </c>
      <c r="O14" s="17">
        <f>IFERROR(VLOOKUP(E14,'Bar Weights'!$A$3:$B$13,2,FALSE),"")</f>
      </c>
      <c r="P14" s="18">
        <f>IF(AND(N14&gt;0,O14&gt;0),N14*O14,"")</f>
      </c>
    </row>
    <row r="15" spans="1:16" x14ac:dyDescent="0.25">
      <c r="A15" s="11"/>
      <c r="B15" s="11"/>
      <c r="C15" s="11"/>
      <c r="D15" s="11"/>
      <c r="E15" s="11"/>
      <c r="F15" s="11"/>
      <c r="G15" s="12"/>
      <c r="H15" s="13"/>
      <c r="I15" s="14"/>
      <c r="J15" s="14"/>
      <c r="K15" s="15">
        <f>IF(AND(G15&gt;0,H15&gt;0,I15&gt;0),(ROUNDUP(H15*12/G15,0)+1)*I15,"")</f>
      </c>
      <c r="L15" s="15">
        <f>IF(J15&gt;0,J15,IF(K15&gt;0,K15,""))</f>
      </c>
      <c r="M15" s="13"/>
      <c r="N15" s="16">
        <f>IF(AND(L15&gt;0,M15&gt;0),L15*M15,"")</f>
      </c>
      <c r="O15" s="17">
        <f>IFERROR(VLOOKUP(E15,'Bar Weights'!$A$3:$B$13,2,FALSE),"")</f>
      </c>
      <c r="P15" s="18">
        <f>IF(AND(N15&gt;0,O15&gt;0),N15*O15,"")</f>
      </c>
    </row>
    <row r="16" spans="1:16" x14ac:dyDescent="0.25">
      <c r="A16" s="11"/>
      <c r="B16" s="11"/>
      <c r="C16" s="11"/>
      <c r="D16" s="11"/>
      <c r="E16" s="11"/>
      <c r="F16" s="11"/>
      <c r="G16" s="12"/>
      <c r="H16" s="13"/>
      <c r="I16" s="14"/>
      <c r="J16" s="14"/>
      <c r="K16" s="15">
        <f>IF(AND(G16&gt;0,H16&gt;0,I16&gt;0),(ROUNDUP(H16*12/G16,0)+1)*I16,"")</f>
      </c>
      <c r="L16" s="15">
        <f>IF(J16&gt;0,J16,IF(K16&gt;0,K16,""))</f>
      </c>
      <c r="M16" s="13"/>
      <c r="N16" s="16">
        <f>IF(AND(L16&gt;0,M16&gt;0),L16*M16,"")</f>
      </c>
      <c r="O16" s="17">
        <f>IFERROR(VLOOKUP(E16,'Bar Weights'!$A$3:$B$13,2,FALSE),"")</f>
      </c>
      <c r="P16" s="18">
        <f>IF(AND(N16&gt;0,O16&gt;0),N16*O16,"")</f>
      </c>
    </row>
    <row r="17" spans="1:16" x14ac:dyDescent="0.25">
      <c r="A17" s="11"/>
      <c r="B17" s="11"/>
      <c r="C17" s="11"/>
      <c r="D17" s="11"/>
      <c r="E17" s="11"/>
      <c r="F17" s="11"/>
      <c r="G17" s="12"/>
      <c r="H17" s="13"/>
      <c r="I17" s="14"/>
      <c r="J17" s="14"/>
      <c r="K17" s="15">
        <f>IF(AND(G17&gt;0,H17&gt;0,I17&gt;0),(ROUNDUP(H17*12/G17,0)+1)*I17,"")</f>
      </c>
      <c r="L17" s="15">
        <f>IF(J17&gt;0,J17,IF(K17&gt;0,K17,""))</f>
      </c>
      <c r="M17" s="13"/>
      <c r="N17" s="16">
        <f>IF(AND(L17&gt;0,M17&gt;0),L17*M17,"")</f>
      </c>
      <c r="O17" s="17">
        <f>IFERROR(VLOOKUP(E17,'Bar Weights'!$A$3:$B$13,2,FALSE),"")</f>
      </c>
      <c r="P17" s="18">
        <f>IF(AND(N17&gt;0,O17&gt;0),N17*O17,"")</f>
      </c>
    </row>
    <row r="18" spans="1:16" x14ac:dyDescent="0.25">
      <c r="A18" s="11"/>
      <c r="B18" s="11"/>
      <c r="C18" s="11"/>
      <c r="D18" s="11"/>
      <c r="E18" s="11"/>
      <c r="F18" s="11"/>
      <c r="G18" s="12"/>
      <c r="H18" s="13"/>
      <c r="I18" s="14"/>
      <c r="J18" s="14"/>
      <c r="K18" s="15">
        <f>IF(AND(G18&gt;0,H18&gt;0,I18&gt;0),(ROUNDUP(H18*12/G18,0)+1)*I18,"")</f>
      </c>
      <c r="L18" s="15">
        <f>IF(J18&gt;0,J18,IF(K18&gt;0,K18,""))</f>
      </c>
      <c r="M18" s="13"/>
      <c r="N18" s="16">
        <f>IF(AND(L18&gt;0,M18&gt;0),L18*M18,"")</f>
      </c>
      <c r="O18" s="17">
        <f>IFERROR(VLOOKUP(E18,'Bar Weights'!$A$3:$B$13,2,FALSE),"")</f>
      </c>
      <c r="P18" s="18">
        <f>IF(AND(N18&gt;0,O18&gt;0),N18*O18,"")</f>
      </c>
    </row>
    <row r="19" spans="1:16" x14ac:dyDescent="0.25">
      <c r="A19" s="11"/>
      <c r="B19" s="11"/>
      <c r="C19" s="11"/>
      <c r="D19" s="11"/>
      <c r="E19" s="11"/>
      <c r="F19" s="11"/>
      <c r="G19" s="12"/>
      <c r="H19" s="13"/>
      <c r="I19" s="14"/>
      <c r="J19" s="14"/>
      <c r="K19" s="15">
        <f>IF(AND(G19&gt;0,H19&gt;0,I19&gt;0),(ROUNDUP(H19*12/G19,0)+1)*I19,"")</f>
      </c>
      <c r="L19" s="15">
        <f>IF(J19&gt;0,J19,IF(K19&gt;0,K19,""))</f>
      </c>
      <c r="M19" s="13"/>
      <c r="N19" s="16">
        <f>IF(AND(L19&gt;0,M19&gt;0),L19*M19,"")</f>
      </c>
      <c r="O19" s="17">
        <f>IFERROR(VLOOKUP(E19,'Bar Weights'!$A$3:$B$13,2,FALSE),"")</f>
      </c>
      <c r="P19" s="18">
        <f>IF(AND(N19&gt;0,O19&gt;0),N19*O19,"")</f>
      </c>
    </row>
    <row r="20" spans="1:16" x14ac:dyDescent="0.25">
      <c r="A20" s="11"/>
      <c r="B20" s="11"/>
      <c r="C20" s="11"/>
      <c r="D20" s="11"/>
      <c r="E20" s="11"/>
      <c r="F20" s="11"/>
      <c r="G20" s="12"/>
      <c r="H20" s="13"/>
      <c r="I20" s="14"/>
      <c r="J20" s="14"/>
      <c r="K20" s="15">
        <f>IF(AND(G20&gt;0,H20&gt;0,I20&gt;0),(ROUNDUP(H20*12/G20,0)+1)*I20,"")</f>
      </c>
      <c r="L20" s="15">
        <f>IF(J20&gt;0,J20,IF(K20&gt;0,K20,""))</f>
      </c>
      <c r="M20" s="13"/>
      <c r="N20" s="16">
        <f>IF(AND(L20&gt;0,M20&gt;0),L20*M20,"")</f>
      </c>
      <c r="O20" s="17">
        <f>IFERROR(VLOOKUP(E20,'Bar Weights'!$A$3:$B$13,2,FALSE),"")</f>
      </c>
      <c r="P20" s="18">
        <f>IF(AND(N20&gt;0,O20&gt;0),N20*O20,"")</f>
      </c>
    </row>
    <row r="21" spans="1:16" x14ac:dyDescent="0.25">
      <c r="A21" s="11"/>
      <c r="B21" s="11"/>
      <c r="C21" s="11"/>
      <c r="D21" s="11"/>
      <c r="E21" s="11"/>
      <c r="F21" s="11"/>
      <c r="G21" s="12"/>
      <c r="H21" s="13"/>
      <c r="I21" s="14"/>
      <c r="J21" s="14"/>
      <c r="K21" s="15">
        <f>IF(AND(G21&gt;0,H21&gt;0,I21&gt;0),(ROUNDUP(H21*12/G21,0)+1)*I21,"")</f>
      </c>
      <c r="L21" s="15">
        <f>IF(J21&gt;0,J21,IF(K21&gt;0,K21,""))</f>
      </c>
      <c r="M21" s="13"/>
      <c r="N21" s="16">
        <f>IF(AND(L21&gt;0,M21&gt;0),L21*M21,"")</f>
      </c>
      <c r="O21" s="17">
        <f>IFERROR(VLOOKUP(E21,'Bar Weights'!$A$3:$B$13,2,FALSE),"")</f>
      </c>
      <c r="P21" s="18">
        <f>IF(AND(N21&gt;0,O21&gt;0),N21*O21,"")</f>
      </c>
    </row>
    <row r="22" spans="1:16" x14ac:dyDescent="0.25">
      <c r="A22" s="11"/>
      <c r="B22" s="11"/>
      <c r="C22" s="11"/>
      <c r="D22" s="11"/>
      <c r="E22" s="11"/>
      <c r="F22" s="11"/>
      <c r="G22" s="12"/>
      <c r="H22" s="13"/>
      <c r="I22" s="14"/>
      <c r="J22" s="14"/>
      <c r="K22" s="15">
        <f>IF(AND(G22&gt;0,H22&gt;0,I22&gt;0),(ROUNDUP(H22*12/G22,0)+1)*I22,"")</f>
      </c>
      <c r="L22" s="15">
        <f>IF(J22&gt;0,J22,IF(K22&gt;0,K22,""))</f>
      </c>
      <c r="M22" s="13"/>
      <c r="N22" s="16">
        <f>IF(AND(L22&gt;0,M22&gt;0),L22*M22,"")</f>
      </c>
      <c r="O22" s="17">
        <f>IFERROR(VLOOKUP(E22,'Bar Weights'!$A$3:$B$13,2,FALSE),"")</f>
      </c>
      <c r="P22" s="18">
        <f>IF(AND(N22&gt;0,O22&gt;0),N22*O22,"")</f>
      </c>
    </row>
    <row r="23" spans="1:16" x14ac:dyDescent="0.25">
      <c r="A23" s="11"/>
      <c r="B23" s="11"/>
      <c r="C23" s="11"/>
      <c r="D23" s="11"/>
      <c r="E23" s="11"/>
      <c r="F23" s="11"/>
      <c r="G23" s="12"/>
      <c r="H23" s="13"/>
      <c r="I23" s="14"/>
      <c r="J23" s="14"/>
      <c r="K23" s="15">
        <f>IF(AND(G23&gt;0,H23&gt;0,I23&gt;0),(ROUNDUP(H23*12/G23,0)+1)*I23,"")</f>
      </c>
      <c r="L23" s="15">
        <f>IF(J23&gt;0,J23,IF(K23&gt;0,K23,""))</f>
      </c>
      <c r="M23" s="13"/>
      <c r="N23" s="16">
        <f>IF(AND(L23&gt;0,M23&gt;0),L23*M23,"")</f>
      </c>
      <c r="O23" s="17">
        <f>IFERROR(VLOOKUP(E23,'Bar Weights'!$A$3:$B$13,2,FALSE),"")</f>
      </c>
      <c r="P23" s="18">
        <f>IF(AND(N23&gt;0,O23&gt;0),N23*O23,"")</f>
      </c>
    </row>
    <row r="24" spans="1:16" x14ac:dyDescent="0.25">
      <c r="A24" s="11"/>
      <c r="B24" s="11"/>
      <c r="C24" s="11"/>
      <c r="D24" s="11"/>
      <c r="E24" s="11"/>
      <c r="F24" s="11"/>
      <c r="G24" s="12"/>
      <c r="H24" s="13"/>
      <c r="I24" s="14"/>
      <c r="J24" s="14"/>
      <c r="K24" s="15">
        <f>IF(AND(G24&gt;0,H24&gt;0,I24&gt;0),(ROUNDUP(H24*12/G24,0)+1)*I24,"")</f>
      </c>
      <c r="L24" s="15">
        <f>IF(J24&gt;0,J24,IF(K24&gt;0,K24,""))</f>
      </c>
      <c r="M24" s="13"/>
      <c r="N24" s="16">
        <f>IF(AND(L24&gt;0,M24&gt;0),L24*M24,"")</f>
      </c>
      <c r="O24" s="17">
        <f>IFERROR(VLOOKUP(E24,'Bar Weights'!$A$3:$B$13,2,FALSE),"")</f>
      </c>
      <c r="P24" s="18">
        <f>IF(AND(N24&gt;0,O24&gt;0),N24*O24,"")</f>
      </c>
    </row>
    <row r="25" spans="1:16" x14ac:dyDescent="0.25">
      <c r="A25" s="11"/>
      <c r="B25" s="11"/>
      <c r="C25" s="11"/>
      <c r="D25" s="11"/>
      <c r="E25" s="11"/>
      <c r="F25" s="11"/>
      <c r="G25" s="12"/>
      <c r="H25" s="13"/>
      <c r="I25" s="14"/>
      <c r="J25" s="14"/>
      <c r="K25" s="15">
        <f>IF(AND(G25&gt;0,H25&gt;0,I25&gt;0),(ROUNDUP(H25*12/G25,0)+1)*I25,"")</f>
      </c>
      <c r="L25" s="15">
        <f>IF(J25&gt;0,J25,IF(K25&gt;0,K25,""))</f>
      </c>
      <c r="M25" s="13"/>
      <c r="N25" s="16">
        <f>IF(AND(L25&gt;0,M25&gt;0),L25*M25,"")</f>
      </c>
      <c r="O25" s="17">
        <f>IFERROR(VLOOKUP(E25,'Bar Weights'!$A$3:$B$13,2,FALSE),"")</f>
      </c>
      <c r="P25" s="18">
        <f>IF(AND(N25&gt;0,O25&gt;0),N25*O25,"")</f>
      </c>
    </row>
    <row r="26" spans="1:16" x14ac:dyDescent="0.25">
      <c r="A26" s="11"/>
      <c r="B26" s="11"/>
      <c r="C26" s="11"/>
      <c r="D26" s="11"/>
      <c r="E26" s="11"/>
      <c r="F26" s="11"/>
      <c r="G26" s="12"/>
      <c r="H26" s="13"/>
      <c r="I26" s="14"/>
      <c r="J26" s="14"/>
      <c r="K26" s="15">
        <f>IF(AND(G26&gt;0,H26&gt;0,I26&gt;0),(ROUNDUP(H26*12/G26,0)+1)*I26,"")</f>
      </c>
      <c r="L26" s="15">
        <f>IF(J26&gt;0,J26,IF(K26&gt;0,K26,""))</f>
      </c>
      <c r="M26" s="13"/>
      <c r="N26" s="16">
        <f>IF(AND(L26&gt;0,M26&gt;0),L26*M26,"")</f>
      </c>
      <c r="O26" s="17">
        <f>IFERROR(VLOOKUP(E26,'Bar Weights'!$A$3:$B$13,2,FALSE),"")</f>
      </c>
      <c r="P26" s="18">
        <f>IF(AND(N26&gt;0,O26&gt;0),N26*O26,"")</f>
      </c>
    </row>
    <row r="27" spans="1:16" x14ac:dyDescent="0.25">
      <c r="A27" s="11"/>
      <c r="B27" s="11"/>
      <c r="C27" s="11"/>
      <c r="D27" s="11"/>
      <c r="E27" s="11"/>
      <c r="F27" s="11"/>
      <c r="G27" s="12"/>
      <c r="H27" s="13"/>
      <c r="I27" s="14"/>
      <c r="J27" s="14"/>
      <c r="K27" s="15">
        <f>IF(AND(G27&gt;0,H27&gt;0,I27&gt;0),(ROUNDUP(H27*12/G27,0)+1)*I27,"")</f>
      </c>
      <c r="L27" s="15">
        <f>IF(J27&gt;0,J27,IF(K27&gt;0,K27,""))</f>
      </c>
      <c r="M27" s="13"/>
      <c r="N27" s="16">
        <f>IF(AND(L27&gt;0,M27&gt;0),L27*M27,"")</f>
      </c>
      <c r="O27" s="17">
        <f>IFERROR(VLOOKUP(E27,'Bar Weights'!$A$3:$B$13,2,FALSE),"")</f>
      </c>
      <c r="P27" s="18">
        <f>IF(AND(N27&gt;0,O27&gt;0),N27*O27,"")</f>
      </c>
    </row>
    <row r="28" spans="1:16" x14ac:dyDescent="0.25">
      <c r="A28" s="11"/>
      <c r="B28" s="11"/>
      <c r="C28" s="11"/>
      <c r="D28" s="11"/>
      <c r="E28" s="11"/>
      <c r="F28" s="11"/>
      <c r="G28" s="12"/>
      <c r="H28" s="13"/>
      <c r="I28" s="14"/>
      <c r="J28" s="14"/>
      <c r="K28" s="15">
        <f>IF(AND(G28&gt;0,H28&gt;0,I28&gt;0),(ROUNDUP(H28*12/G28,0)+1)*I28,"")</f>
      </c>
      <c r="L28" s="15">
        <f>IF(J28&gt;0,J28,IF(K28&gt;0,K28,""))</f>
      </c>
      <c r="M28" s="13"/>
      <c r="N28" s="16">
        <f>IF(AND(L28&gt;0,M28&gt;0),L28*M28,"")</f>
      </c>
      <c r="O28" s="17">
        <f>IFERROR(VLOOKUP(E28,'Bar Weights'!$A$3:$B$13,2,FALSE),"")</f>
      </c>
      <c r="P28" s="18">
        <f>IF(AND(N28&gt;0,O28&gt;0),N28*O28,"")</f>
      </c>
    </row>
    <row r="29" spans="1:16" x14ac:dyDescent="0.25">
      <c r="A29" s="11"/>
      <c r="B29" s="11"/>
      <c r="C29" s="11"/>
      <c r="D29" s="11"/>
      <c r="E29" s="11"/>
      <c r="F29" s="11"/>
      <c r="G29" s="12"/>
      <c r="H29" s="13"/>
      <c r="I29" s="14"/>
      <c r="J29" s="14"/>
      <c r="K29" s="15">
        <f>IF(AND(G29&gt;0,H29&gt;0,I29&gt;0),(ROUNDUP(H29*12/G29,0)+1)*I29,"")</f>
      </c>
      <c r="L29" s="15">
        <f>IF(J29&gt;0,J29,IF(K29&gt;0,K29,""))</f>
      </c>
      <c r="M29" s="13"/>
      <c r="N29" s="16">
        <f>IF(AND(L29&gt;0,M29&gt;0),L29*M29,"")</f>
      </c>
      <c r="O29" s="17">
        <f>IFERROR(VLOOKUP(E29,'Bar Weights'!$A$3:$B$13,2,FALSE),"")</f>
      </c>
      <c r="P29" s="18">
        <f>IF(AND(N29&gt;0,O29&gt;0),N29*O29,"")</f>
      </c>
    </row>
    <row r="30" spans="1:16" x14ac:dyDescent="0.25">
      <c r="A30" s="11"/>
      <c r="B30" s="11"/>
      <c r="C30" s="11"/>
      <c r="D30" s="11"/>
      <c r="E30" s="11"/>
      <c r="F30" s="11"/>
      <c r="G30" s="12"/>
      <c r="H30" s="13"/>
      <c r="I30" s="14"/>
      <c r="J30" s="14"/>
      <c r="K30" s="15">
        <f>IF(AND(G30&gt;0,H30&gt;0,I30&gt;0),(ROUNDUP(H30*12/G30,0)+1)*I30,"")</f>
      </c>
      <c r="L30" s="15">
        <f>IF(J30&gt;0,J30,IF(K30&gt;0,K30,""))</f>
      </c>
      <c r="M30" s="13"/>
      <c r="N30" s="16">
        <f>IF(AND(L30&gt;0,M30&gt;0),L30*M30,"")</f>
      </c>
      <c r="O30" s="17">
        <f>IFERROR(VLOOKUP(E30,'Bar Weights'!$A$3:$B$13,2,FALSE),"")</f>
      </c>
      <c r="P30" s="18">
        <f>IF(AND(N30&gt;0,O30&gt;0),N30*O30,"")</f>
      </c>
    </row>
    <row r="31" spans="1:16" x14ac:dyDescent="0.25">
      <c r="A31" s="11"/>
      <c r="B31" s="11"/>
      <c r="C31" s="11"/>
      <c r="D31" s="11"/>
      <c r="E31" s="11"/>
      <c r="F31" s="11"/>
      <c r="G31" s="12"/>
      <c r="H31" s="13"/>
      <c r="I31" s="14"/>
      <c r="J31" s="14"/>
      <c r="K31" s="15">
        <f>IF(AND(G31&gt;0,H31&gt;0,I31&gt;0),(ROUNDUP(H31*12/G31,0)+1)*I31,"")</f>
      </c>
      <c r="L31" s="15">
        <f>IF(J31&gt;0,J31,IF(K31&gt;0,K31,""))</f>
      </c>
      <c r="M31" s="13"/>
      <c r="N31" s="16">
        <f>IF(AND(L31&gt;0,M31&gt;0),L31*M31,"")</f>
      </c>
      <c r="O31" s="17">
        <f>IFERROR(VLOOKUP(E31,'Bar Weights'!$A$3:$B$13,2,FALSE),"")</f>
      </c>
      <c r="P31" s="18">
        <f>IF(AND(N31&gt;0,O31&gt;0),N31*O31,"")</f>
      </c>
    </row>
    <row r="32" spans="1:16" x14ac:dyDescent="0.25">
      <c r="A32" s="11"/>
      <c r="B32" s="11"/>
      <c r="C32" s="11"/>
      <c r="D32" s="11"/>
      <c r="E32" s="11"/>
      <c r="F32" s="11"/>
      <c r="G32" s="12"/>
      <c r="H32" s="13"/>
      <c r="I32" s="14"/>
      <c r="J32" s="14"/>
      <c r="K32" s="15">
        <f>IF(AND(G32&gt;0,H32&gt;0,I32&gt;0),(ROUNDUP(H32*12/G32,0)+1)*I32,"")</f>
      </c>
      <c r="L32" s="15">
        <f>IF(J32&gt;0,J32,IF(K32&gt;0,K32,""))</f>
      </c>
      <c r="M32" s="13"/>
      <c r="N32" s="16">
        <f>IF(AND(L32&gt;0,M32&gt;0),L32*M32,"")</f>
      </c>
      <c r="O32" s="17">
        <f>IFERROR(VLOOKUP(E32,'Bar Weights'!$A$3:$B$13,2,FALSE),"")</f>
      </c>
      <c r="P32" s="18">
        <f>IF(AND(N32&gt;0,O32&gt;0),N32*O32,"")</f>
      </c>
    </row>
    <row r="33" spans="1:16" x14ac:dyDescent="0.25">
      <c r="A33" s="11"/>
      <c r="B33" s="11"/>
      <c r="C33" s="11"/>
      <c r="D33" s="11"/>
      <c r="E33" s="11"/>
      <c r="F33" s="11"/>
      <c r="G33" s="12"/>
      <c r="H33" s="13"/>
      <c r="I33" s="14"/>
      <c r="J33" s="14"/>
      <c r="K33" s="15">
        <f>IF(AND(G33&gt;0,H33&gt;0,I33&gt;0),(ROUNDUP(H33*12/G33,0)+1)*I33,"")</f>
      </c>
      <c r="L33" s="15">
        <f>IF(J33&gt;0,J33,IF(K33&gt;0,K33,""))</f>
      </c>
      <c r="M33" s="13"/>
      <c r="N33" s="16">
        <f>IF(AND(L33&gt;0,M33&gt;0),L33*M33,"")</f>
      </c>
      <c r="O33" s="17">
        <f>IFERROR(VLOOKUP(E33,'Bar Weights'!$A$3:$B$13,2,FALSE),"")</f>
      </c>
      <c r="P33" s="18">
        <f>IF(AND(N33&gt;0,O33&gt;0),N33*O33,"")</f>
      </c>
    </row>
    <row r="34" spans="1:16" x14ac:dyDescent="0.25">
      <c r="A34" s="11"/>
      <c r="B34" s="11"/>
      <c r="C34" s="11"/>
      <c r="D34" s="11"/>
      <c r="E34" s="11"/>
      <c r="F34" s="11"/>
      <c r="G34" s="12"/>
      <c r="H34" s="13"/>
      <c r="I34" s="14"/>
      <c r="J34" s="14"/>
      <c r="K34" s="15">
        <f>IF(AND(G34&gt;0,H34&gt;0,I34&gt;0),(ROUNDUP(H34*12/G34,0)+1)*I34,"")</f>
      </c>
      <c r="L34" s="15">
        <f>IF(J34&gt;0,J34,IF(K34&gt;0,K34,""))</f>
      </c>
      <c r="M34" s="13"/>
      <c r="N34" s="16">
        <f>IF(AND(L34&gt;0,M34&gt;0),L34*M34,"")</f>
      </c>
      <c r="O34" s="17">
        <f>IFERROR(VLOOKUP(E34,'Bar Weights'!$A$3:$B$13,2,FALSE),"")</f>
      </c>
      <c r="P34" s="18">
        <f>IF(AND(N34&gt;0,O34&gt;0),N34*O34,"")</f>
      </c>
    </row>
    <row r="35" spans="1:16" x14ac:dyDescent="0.25">
      <c r="A35" s="11"/>
      <c r="B35" s="11"/>
      <c r="C35" s="11"/>
      <c r="D35" s="11"/>
      <c r="E35" s="11"/>
      <c r="F35" s="11"/>
      <c r="G35" s="12"/>
      <c r="H35" s="13"/>
      <c r="I35" s="14"/>
      <c r="J35" s="14"/>
      <c r="K35" s="15">
        <f>IF(AND(G35&gt;0,H35&gt;0,I35&gt;0),(ROUNDUP(H35*12/G35,0)+1)*I35,"")</f>
      </c>
      <c r="L35" s="15">
        <f>IF(J35&gt;0,J35,IF(K35&gt;0,K35,""))</f>
      </c>
      <c r="M35" s="13"/>
      <c r="N35" s="16">
        <f>IF(AND(L35&gt;0,M35&gt;0),L35*M35,"")</f>
      </c>
      <c r="O35" s="17">
        <f>IFERROR(VLOOKUP(E35,'Bar Weights'!$A$3:$B$13,2,FALSE),"")</f>
      </c>
      <c r="P35" s="18">
        <f>IF(AND(N35&gt;0,O35&gt;0),N35*O35,"")</f>
      </c>
    </row>
    <row r="36" spans="1:16" x14ac:dyDescent="0.25">
      <c r="A36" s="11"/>
      <c r="B36" s="11"/>
      <c r="C36" s="11"/>
      <c r="D36" s="11"/>
      <c r="E36" s="11"/>
      <c r="F36" s="11"/>
      <c r="G36" s="12"/>
      <c r="H36" s="13"/>
      <c r="I36" s="14"/>
      <c r="J36" s="14"/>
      <c r="K36" s="15">
        <f>IF(AND(G36&gt;0,H36&gt;0,I36&gt;0),(ROUNDUP(H36*12/G36,0)+1)*I36,"")</f>
      </c>
      <c r="L36" s="15">
        <f>IF(J36&gt;0,J36,IF(K36&gt;0,K36,""))</f>
      </c>
      <c r="M36" s="13"/>
      <c r="N36" s="16">
        <f>IF(AND(L36&gt;0,M36&gt;0),L36*M36,"")</f>
      </c>
      <c r="O36" s="17">
        <f>IFERROR(VLOOKUP(E36,'Bar Weights'!$A$3:$B$13,2,FALSE),"")</f>
      </c>
      <c r="P36" s="18">
        <f>IF(AND(N36&gt;0,O36&gt;0),N36*O36,"")</f>
      </c>
    </row>
    <row r="37" spans="1:16" x14ac:dyDescent="0.25">
      <c r="A37" s="11"/>
      <c r="B37" s="11"/>
      <c r="C37" s="11"/>
      <c r="D37" s="11"/>
      <c r="E37" s="11"/>
      <c r="F37" s="11"/>
      <c r="G37" s="12"/>
      <c r="H37" s="13"/>
      <c r="I37" s="14"/>
      <c r="J37" s="14"/>
      <c r="K37" s="15">
        <f>IF(AND(G37&gt;0,H37&gt;0,I37&gt;0),(ROUNDUP(H37*12/G37,0)+1)*I37,"")</f>
      </c>
      <c r="L37" s="15">
        <f>IF(J37&gt;0,J37,IF(K37&gt;0,K37,""))</f>
      </c>
      <c r="M37" s="13"/>
      <c r="N37" s="16">
        <f>IF(AND(L37&gt;0,M37&gt;0),L37*M37,"")</f>
      </c>
      <c r="O37" s="17">
        <f>IFERROR(VLOOKUP(E37,'Bar Weights'!$A$3:$B$13,2,FALSE),"")</f>
      </c>
      <c r="P37" s="18">
        <f>IF(AND(N37&gt;0,O37&gt;0),N37*O37,"")</f>
      </c>
    </row>
    <row r="38" spans="1:16" x14ac:dyDescent="0.25">
      <c r="A38" s="11"/>
      <c r="B38" s="11"/>
      <c r="C38" s="11"/>
      <c r="D38" s="11"/>
      <c r="E38" s="11"/>
      <c r="F38" s="11"/>
      <c r="G38" s="12"/>
      <c r="H38" s="13"/>
      <c r="I38" s="14"/>
      <c r="J38" s="14"/>
      <c r="K38" s="15">
        <f>IF(AND(G38&gt;0,H38&gt;0,I38&gt;0),(ROUNDUP(H38*12/G38,0)+1)*I38,"")</f>
      </c>
      <c r="L38" s="15">
        <f>IF(J38&gt;0,J38,IF(K38&gt;0,K38,""))</f>
      </c>
      <c r="M38" s="13"/>
      <c r="N38" s="16">
        <f>IF(AND(L38&gt;0,M38&gt;0),L38*M38,"")</f>
      </c>
      <c r="O38" s="17">
        <f>IFERROR(VLOOKUP(E38,'Bar Weights'!$A$3:$B$13,2,FALSE),"")</f>
      </c>
      <c r="P38" s="18">
        <f>IF(AND(N38&gt;0,O38&gt;0),N38*O38,"")</f>
      </c>
    </row>
    <row r="39" spans="1:16" x14ac:dyDescent="0.25">
      <c r="A39" s="11"/>
      <c r="B39" s="11"/>
      <c r="C39" s="11"/>
      <c r="D39" s="11"/>
      <c r="E39" s="11"/>
      <c r="F39" s="11"/>
      <c r="G39" s="12"/>
      <c r="H39" s="13"/>
      <c r="I39" s="14"/>
      <c r="J39" s="14"/>
      <c r="K39" s="15">
        <f>IF(AND(G39&gt;0,H39&gt;0,I39&gt;0),(ROUNDUP(H39*12/G39,0)+1)*I39,"")</f>
      </c>
      <c r="L39" s="15">
        <f>IF(J39&gt;0,J39,IF(K39&gt;0,K39,""))</f>
      </c>
      <c r="M39" s="13"/>
      <c r="N39" s="16">
        <f>IF(AND(L39&gt;0,M39&gt;0),L39*M39,"")</f>
      </c>
      <c r="O39" s="17">
        <f>IFERROR(VLOOKUP(E39,'Bar Weights'!$A$3:$B$13,2,FALSE),"")</f>
      </c>
      <c r="P39" s="18">
        <f>IF(AND(N39&gt;0,O39&gt;0),N39*O39,"")</f>
      </c>
    </row>
    <row r="40" spans="1:16" x14ac:dyDescent="0.25">
      <c r="A40" s="11"/>
      <c r="B40" s="11"/>
      <c r="C40" s="11"/>
      <c r="D40" s="11"/>
      <c r="E40" s="11"/>
      <c r="F40" s="11"/>
      <c r="G40" s="12"/>
      <c r="H40" s="13"/>
      <c r="I40" s="14"/>
      <c r="J40" s="14"/>
      <c r="K40" s="15">
        <f>IF(AND(G40&gt;0,H40&gt;0,I40&gt;0),(ROUNDUP(H40*12/G40,0)+1)*I40,"")</f>
      </c>
      <c r="L40" s="15">
        <f>IF(J40&gt;0,J40,IF(K40&gt;0,K40,""))</f>
      </c>
      <c r="M40" s="13"/>
      <c r="N40" s="16">
        <f>IF(AND(L40&gt;0,M40&gt;0),L40*M40,"")</f>
      </c>
      <c r="O40" s="17">
        <f>IFERROR(VLOOKUP(E40,'Bar Weights'!$A$3:$B$13,2,FALSE),"")</f>
      </c>
      <c r="P40" s="18">
        <f>IF(AND(N40&gt;0,O40&gt;0),N40*O40,"")</f>
      </c>
    </row>
    <row r="41" spans="1:16" x14ac:dyDescent="0.25">
      <c r="A41" s="11"/>
      <c r="B41" s="11"/>
      <c r="C41" s="11"/>
      <c r="D41" s="11"/>
      <c r="E41" s="11"/>
      <c r="F41" s="11"/>
      <c r="G41" s="12"/>
      <c r="H41" s="13"/>
      <c r="I41" s="14"/>
      <c r="J41" s="14"/>
      <c r="K41" s="15">
        <f>IF(AND(G41&gt;0,H41&gt;0,I41&gt;0),(ROUNDUP(H41*12/G41,0)+1)*I41,"")</f>
      </c>
      <c r="L41" s="15">
        <f>IF(J41&gt;0,J41,IF(K41&gt;0,K41,""))</f>
      </c>
      <c r="M41" s="13"/>
      <c r="N41" s="16">
        <f>IF(AND(L41&gt;0,M41&gt;0),L41*M41,"")</f>
      </c>
      <c r="O41" s="17">
        <f>IFERROR(VLOOKUP(E41,'Bar Weights'!$A$3:$B$13,2,FALSE),"")</f>
      </c>
      <c r="P41" s="18">
        <f>IF(AND(N41&gt;0,O41&gt;0),N41*O41,"")</f>
      </c>
    </row>
    <row r="42" spans="1:16" x14ac:dyDescent="0.25">
      <c r="A42" s="11"/>
      <c r="B42" s="11"/>
      <c r="C42" s="11"/>
      <c r="D42" s="11"/>
      <c r="E42" s="11"/>
      <c r="F42" s="11"/>
      <c r="G42" s="12"/>
      <c r="H42" s="13"/>
      <c r="I42" s="14"/>
      <c r="J42" s="14"/>
      <c r="K42" s="15">
        <f>IF(AND(G42&gt;0,H42&gt;0,I42&gt;0),(ROUNDUP(H42*12/G42,0)+1)*I42,"")</f>
      </c>
      <c r="L42" s="15">
        <f>IF(J42&gt;0,J42,IF(K42&gt;0,K42,""))</f>
      </c>
      <c r="M42" s="13"/>
      <c r="N42" s="16">
        <f>IF(AND(L42&gt;0,M42&gt;0),L42*M42,"")</f>
      </c>
      <c r="O42" s="17">
        <f>IFERROR(VLOOKUP(E42,'Bar Weights'!$A$3:$B$13,2,FALSE),"")</f>
      </c>
      <c r="P42" s="18">
        <f>IF(AND(N42&gt;0,O42&gt;0),N42*O42,"")</f>
      </c>
    </row>
    <row r="43" spans="1:16" x14ac:dyDescent="0.25">
      <c r="A43" s="11"/>
      <c r="B43" s="11"/>
      <c r="C43" s="11"/>
      <c r="D43" s="11"/>
      <c r="E43" s="11"/>
      <c r="F43" s="11"/>
      <c r="G43" s="12"/>
      <c r="H43" s="13"/>
      <c r="I43" s="14"/>
      <c r="J43" s="14"/>
      <c r="K43" s="15">
        <f>IF(AND(G43&gt;0,H43&gt;0,I43&gt;0),(ROUNDUP(H43*12/G43,0)+1)*I43,"")</f>
      </c>
      <c r="L43" s="15">
        <f>IF(J43&gt;0,J43,IF(K43&gt;0,K43,""))</f>
      </c>
      <c r="M43" s="13"/>
      <c r="N43" s="16">
        <f>IF(AND(L43&gt;0,M43&gt;0),L43*M43,"")</f>
      </c>
      <c r="O43" s="17">
        <f>IFERROR(VLOOKUP(E43,'Bar Weights'!$A$3:$B$13,2,FALSE),"")</f>
      </c>
      <c r="P43" s="18">
        <f>IF(AND(N43&gt;0,O43&gt;0),N43*O43,"")</f>
      </c>
    </row>
    <row r="44" spans="1:16" x14ac:dyDescent="0.25">
      <c r="A44" s="11"/>
      <c r="B44" s="11"/>
      <c r="C44" s="11"/>
      <c r="D44" s="11"/>
      <c r="E44" s="11"/>
      <c r="F44" s="11"/>
      <c r="G44" s="12"/>
      <c r="H44" s="13"/>
      <c r="I44" s="14"/>
      <c r="J44" s="14"/>
      <c r="K44" s="15">
        <f>IF(AND(G44&gt;0,H44&gt;0,I44&gt;0),(ROUNDUP(H44*12/G44,0)+1)*I44,"")</f>
      </c>
      <c r="L44" s="15">
        <f>IF(J44&gt;0,J44,IF(K44&gt;0,K44,""))</f>
      </c>
      <c r="M44" s="13"/>
      <c r="N44" s="16">
        <f>IF(AND(L44&gt;0,M44&gt;0),L44*M44,"")</f>
      </c>
      <c r="O44" s="17">
        <f>IFERROR(VLOOKUP(E44,'Bar Weights'!$A$3:$B$13,2,FALSE),"")</f>
      </c>
      <c r="P44" s="18">
        <f>IF(AND(N44&gt;0,O44&gt;0),N44*O44,"")</f>
      </c>
    </row>
    <row r="45" spans="1:16" x14ac:dyDescent="0.25">
      <c r="A45" s="11"/>
      <c r="B45" s="11"/>
      <c r="C45" s="11"/>
      <c r="D45" s="11"/>
      <c r="E45" s="11"/>
      <c r="F45" s="11"/>
      <c r="G45" s="12"/>
      <c r="H45" s="13"/>
      <c r="I45" s="14"/>
      <c r="J45" s="14"/>
      <c r="K45" s="15">
        <f>IF(AND(G45&gt;0,H45&gt;0,I45&gt;0),(ROUNDUP(H45*12/G45,0)+1)*I45,"")</f>
      </c>
      <c r="L45" s="15">
        <f>IF(J45&gt;0,J45,IF(K45&gt;0,K45,""))</f>
      </c>
      <c r="M45" s="13"/>
      <c r="N45" s="16">
        <f>IF(AND(L45&gt;0,M45&gt;0),L45*M45,"")</f>
      </c>
      <c r="O45" s="17">
        <f>IFERROR(VLOOKUP(E45,'Bar Weights'!$A$3:$B$13,2,FALSE),"")</f>
      </c>
      <c r="P45" s="18">
        <f>IF(AND(N45&gt;0,O45&gt;0),N45*O45,"")</f>
      </c>
    </row>
    <row r="46" spans="1:16" x14ac:dyDescent="0.25">
      <c r="A46" s="11"/>
      <c r="B46" s="11"/>
      <c r="C46" s="11"/>
      <c r="D46" s="11"/>
      <c r="E46" s="11"/>
      <c r="F46" s="11"/>
      <c r="G46" s="12"/>
      <c r="H46" s="13"/>
      <c r="I46" s="14"/>
      <c r="J46" s="14"/>
      <c r="K46" s="15">
        <f>IF(AND(G46&gt;0,H46&gt;0,I46&gt;0),(ROUNDUP(H46*12/G46,0)+1)*I46,"")</f>
      </c>
      <c r="L46" s="15">
        <f>IF(J46&gt;0,J46,IF(K46&gt;0,K46,""))</f>
      </c>
      <c r="M46" s="13"/>
      <c r="N46" s="16">
        <f>IF(AND(L46&gt;0,M46&gt;0),L46*M46,"")</f>
      </c>
      <c r="O46" s="17">
        <f>IFERROR(VLOOKUP(E46,'Bar Weights'!$A$3:$B$13,2,FALSE),"")</f>
      </c>
      <c r="P46" s="18">
        <f>IF(AND(N46&gt;0,O46&gt;0),N46*O46,"")</f>
      </c>
    </row>
    <row r="47" spans="1:16" x14ac:dyDescent="0.25">
      <c r="A47" s="11"/>
      <c r="B47" s="11"/>
      <c r="C47" s="11"/>
      <c r="D47" s="11"/>
      <c r="E47" s="11"/>
      <c r="F47" s="11"/>
      <c r="G47" s="12"/>
      <c r="H47" s="13"/>
      <c r="I47" s="14"/>
      <c r="J47" s="14"/>
      <c r="K47" s="15">
        <f>IF(AND(G47&gt;0,H47&gt;0,I47&gt;0),(ROUNDUP(H47*12/G47,0)+1)*I47,"")</f>
      </c>
      <c r="L47" s="15">
        <f>IF(J47&gt;0,J47,IF(K47&gt;0,K47,""))</f>
      </c>
      <c r="M47" s="13"/>
      <c r="N47" s="16">
        <f>IF(AND(L47&gt;0,M47&gt;0),L47*M47,"")</f>
      </c>
      <c r="O47" s="17">
        <f>IFERROR(VLOOKUP(E47,'Bar Weights'!$A$3:$B$13,2,FALSE),"")</f>
      </c>
      <c r="P47" s="18">
        <f>IF(AND(N47&gt;0,O47&gt;0),N47*O47,"")</f>
      </c>
    </row>
    <row r="48" spans="1:16" x14ac:dyDescent="0.25">
      <c r="A48" s="11"/>
      <c r="B48" s="11"/>
      <c r="C48" s="11"/>
      <c r="D48" s="11"/>
      <c r="E48" s="11"/>
      <c r="F48" s="11"/>
      <c r="G48" s="12"/>
      <c r="H48" s="13"/>
      <c r="I48" s="14"/>
      <c r="J48" s="14"/>
      <c r="K48" s="15">
        <f>IF(AND(G48&gt;0,H48&gt;0,I48&gt;0),(ROUNDUP(H48*12/G48,0)+1)*I48,"")</f>
      </c>
      <c r="L48" s="15">
        <f>IF(J48&gt;0,J48,IF(K48&gt;0,K48,""))</f>
      </c>
      <c r="M48" s="13"/>
      <c r="N48" s="16">
        <f>IF(AND(L48&gt;0,M48&gt;0),L48*M48,"")</f>
      </c>
      <c r="O48" s="17">
        <f>IFERROR(VLOOKUP(E48,'Bar Weights'!$A$3:$B$13,2,FALSE),"")</f>
      </c>
      <c r="P48" s="18">
        <f>IF(AND(N48&gt;0,O48&gt;0),N48*O48,"")</f>
      </c>
    </row>
    <row r="49" spans="1:16" x14ac:dyDescent="0.25">
      <c r="A49" s="11"/>
      <c r="B49" s="11"/>
      <c r="C49" s="11"/>
      <c r="D49" s="11"/>
      <c r="E49" s="11"/>
      <c r="F49" s="11"/>
      <c r="G49" s="12"/>
      <c r="H49" s="13"/>
      <c r="I49" s="14"/>
      <c r="J49" s="14"/>
      <c r="K49" s="15">
        <f>IF(AND(G49&gt;0,H49&gt;0,I49&gt;0),(ROUNDUP(H49*12/G49,0)+1)*I49,"")</f>
      </c>
      <c r="L49" s="15">
        <f>IF(J49&gt;0,J49,IF(K49&gt;0,K49,""))</f>
      </c>
      <c r="M49" s="13"/>
      <c r="N49" s="16">
        <f>IF(AND(L49&gt;0,M49&gt;0),L49*M49,"")</f>
      </c>
      <c r="O49" s="17">
        <f>IFERROR(VLOOKUP(E49,'Bar Weights'!$A$3:$B$13,2,FALSE),"")</f>
      </c>
      <c r="P49" s="18">
        <f>IF(AND(N49&gt;0,O49&gt;0),N49*O49,"")</f>
      </c>
    </row>
    <row r="50" spans="1:16" x14ac:dyDescent="0.25">
      <c r="A50" s="11"/>
      <c r="B50" s="11"/>
      <c r="C50" s="11"/>
      <c r="D50" s="11"/>
      <c r="E50" s="11"/>
      <c r="F50" s="11"/>
      <c r="G50" s="12"/>
      <c r="H50" s="13"/>
      <c r="I50" s="14"/>
      <c r="J50" s="14"/>
      <c r="K50" s="15">
        <f>IF(AND(G50&gt;0,H50&gt;0,I50&gt;0),(ROUNDUP(H50*12/G50,0)+1)*I50,"")</f>
      </c>
      <c r="L50" s="15">
        <f>IF(J50&gt;0,J50,IF(K50&gt;0,K50,""))</f>
      </c>
      <c r="M50" s="13"/>
      <c r="N50" s="16">
        <f>IF(AND(L50&gt;0,M50&gt;0),L50*M50,"")</f>
      </c>
      <c r="O50" s="17">
        <f>IFERROR(VLOOKUP(E50,'Bar Weights'!$A$3:$B$13,2,FALSE),"")</f>
      </c>
      <c r="P50" s="18">
        <f>IF(AND(N50&gt;0,O50&gt;0),N50*O50,"")</f>
      </c>
    </row>
    <row r="51" spans="1:16" x14ac:dyDescent="0.25">
      <c r="A51" s="11"/>
      <c r="B51" s="11"/>
      <c r="C51" s="11"/>
      <c r="D51" s="11"/>
      <c r="E51" s="11"/>
      <c r="F51" s="11"/>
      <c r="G51" s="12"/>
      <c r="H51" s="13"/>
      <c r="I51" s="14"/>
      <c r="J51" s="14"/>
      <c r="K51" s="15">
        <f>IF(AND(G51&gt;0,H51&gt;0,I51&gt;0),(ROUNDUP(H51*12/G51,0)+1)*I51,"")</f>
      </c>
      <c r="L51" s="15">
        <f>IF(J51&gt;0,J51,IF(K51&gt;0,K51,""))</f>
      </c>
      <c r="M51" s="13"/>
      <c r="N51" s="16">
        <f>IF(AND(L51&gt;0,M51&gt;0),L51*M51,"")</f>
      </c>
      <c r="O51" s="17">
        <f>IFERROR(VLOOKUP(E51,'Bar Weights'!$A$3:$B$13,2,FALSE),"")</f>
      </c>
      <c r="P51" s="18">
        <f>IF(AND(N51&gt;0,O51&gt;0),N51*O51,"")</f>
      </c>
    </row>
    <row r="52" spans="1:16" x14ac:dyDescent="0.25">
      <c r="A52" s="11"/>
      <c r="B52" s="11"/>
      <c r="C52" s="11"/>
      <c r="D52" s="11"/>
      <c r="E52" s="11"/>
      <c r="F52" s="11"/>
      <c r="G52" s="12"/>
      <c r="H52" s="13"/>
      <c r="I52" s="14"/>
      <c r="J52" s="14"/>
      <c r="K52" s="15">
        <f>IF(AND(G52&gt;0,H52&gt;0,I52&gt;0),(ROUNDUP(H52*12/G52,0)+1)*I52,"")</f>
      </c>
      <c r="L52" s="15">
        <f>IF(J52&gt;0,J52,IF(K52&gt;0,K52,""))</f>
      </c>
      <c r="M52" s="13"/>
      <c r="N52" s="16">
        <f>IF(AND(L52&gt;0,M52&gt;0),L52*M52,"")</f>
      </c>
      <c r="O52" s="17">
        <f>IFERROR(VLOOKUP(E52,'Bar Weights'!$A$3:$B$13,2,FALSE),"")</f>
      </c>
      <c r="P52" s="18">
        <f>IF(AND(N52&gt;0,O52&gt;0),N52*O52,"")</f>
      </c>
    </row>
    <row r="53" spans="1:16" x14ac:dyDescent="0.25">
      <c r="A53" s="11"/>
      <c r="B53" s="11"/>
      <c r="C53" s="11"/>
      <c r="D53" s="11"/>
      <c r="E53" s="11"/>
      <c r="F53" s="11"/>
      <c r="G53" s="12"/>
      <c r="H53" s="13"/>
      <c r="I53" s="14"/>
      <c r="J53" s="14"/>
      <c r="K53" s="15">
        <f>IF(AND(G53&gt;0,H53&gt;0,I53&gt;0),(ROUNDUP(H53*12/G53,0)+1)*I53,"")</f>
      </c>
      <c r="L53" s="15">
        <f>IF(J53&gt;0,J53,IF(K53&gt;0,K53,""))</f>
      </c>
      <c r="M53" s="13"/>
      <c r="N53" s="16">
        <f>IF(AND(L53&gt;0,M53&gt;0),L53*M53,"")</f>
      </c>
      <c r="O53" s="17">
        <f>IFERROR(VLOOKUP(E53,'Bar Weights'!$A$3:$B$13,2,FALSE),"")</f>
      </c>
      <c r="P53" s="18">
        <f>IF(AND(N53&gt;0,O53&gt;0),N53*O53,"")</f>
      </c>
    </row>
    <row r="54" spans="1:16" x14ac:dyDescent="0.25">
      <c r="A54" s="11"/>
      <c r="B54" s="11"/>
      <c r="C54" s="11"/>
      <c r="D54" s="11"/>
      <c r="E54" s="11"/>
      <c r="F54" s="11"/>
      <c r="G54" s="12"/>
      <c r="H54" s="13"/>
      <c r="I54" s="14"/>
      <c r="J54" s="14"/>
      <c r="K54" s="15">
        <f>IF(AND(G54&gt;0,H54&gt;0,I54&gt;0),(ROUNDUP(H54*12/G54,0)+1)*I54,"")</f>
      </c>
      <c r="L54" s="15">
        <f>IF(J54&gt;0,J54,IF(K54&gt;0,K54,""))</f>
      </c>
      <c r="M54" s="13"/>
      <c r="N54" s="16">
        <f>IF(AND(L54&gt;0,M54&gt;0),L54*M54,"")</f>
      </c>
      <c r="O54" s="17">
        <f>IFERROR(VLOOKUP(E54,'Bar Weights'!$A$3:$B$13,2,FALSE),"")</f>
      </c>
      <c r="P54" s="18">
        <f>IF(AND(N54&gt;0,O54&gt;0),N54*O54,"")</f>
      </c>
    </row>
    <row r="55" spans="1:16" x14ac:dyDescent="0.25">
      <c r="A55" s="11"/>
      <c r="B55" s="11"/>
      <c r="C55" s="11"/>
      <c r="D55" s="11"/>
      <c r="E55" s="11"/>
      <c r="F55" s="11"/>
      <c r="G55" s="12"/>
      <c r="H55" s="13"/>
      <c r="I55" s="14"/>
      <c r="J55" s="14"/>
      <c r="K55" s="15">
        <f>IF(AND(G55&gt;0,H55&gt;0,I55&gt;0),(ROUNDUP(H55*12/G55,0)+1)*I55,"")</f>
      </c>
      <c r="L55" s="15">
        <f>IF(J55&gt;0,J55,IF(K55&gt;0,K55,""))</f>
      </c>
      <c r="M55" s="13"/>
      <c r="N55" s="16">
        <f>IF(AND(L55&gt;0,M55&gt;0),L55*M55,"")</f>
      </c>
      <c r="O55" s="17">
        <f>IFERROR(VLOOKUP(E55,'Bar Weights'!$A$3:$B$13,2,FALSE),"")</f>
      </c>
      <c r="P55" s="18">
        <f>IF(AND(N55&gt;0,O55&gt;0),N55*O55,"")</f>
      </c>
    </row>
    <row r="56" spans="1:16" x14ac:dyDescent="0.25">
      <c r="A56" s="11"/>
      <c r="B56" s="11"/>
      <c r="C56" s="11"/>
      <c r="D56" s="11"/>
      <c r="E56" s="11"/>
      <c r="F56" s="11"/>
      <c r="G56" s="12"/>
      <c r="H56" s="13"/>
      <c r="I56" s="14"/>
      <c r="J56" s="14"/>
      <c r="K56" s="15">
        <f>IF(AND(G56&gt;0,H56&gt;0,I56&gt;0),(ROUNDUP(H56*12/G56,0)+1)*I56,"")</f>
      </c>
      <c r="L56" s="15">
        <f>IF(J56&gt;0,J56,IF(K56&gt;0,K56,""))</f>
      </c>
      <c r="M56" s="13"/>
      <c r="N56" s="16">
        <f>IF(AND(L56&gt;0,M56&gt;0),L56*M56,"")</f>
      </c>
      <c r="O56" s="17">
        <f>IFERROR(VLOOKUP(E56,'Bar Weights'!$A$3:$B$13,2,FALSE),"")</f>
      </c>
      <c r="P56" s="18">
        <f>IF(AND(N56&gt;0,O56&gt;0),N56*O56,"")</f>
      </c>
    </row>
    <row r="57" spans="1:16" x14ac:dyDescent="0.25">
      <c r="A57" s="11"/>
      <c r="B57" s="11"/>
      <c r="C57" s="11"/>
      <c r="D57" s="11"/>
      <c r="E57" s="11"/>
      <c r="F57" s="11"/>
      <c r="G57" s="12"/>
      <c r="H57" s="13"/>
      <c r="I57" s="14"/>
      <c r="J57" s="14"/>
      <c r="K57" s="15">
        <f>IF(AND(G57&gt;0,H57&gt;0,I57&gt;0),(ROUNDUP(H57*12/G57,0)+1)*I57,"")</f>
      </c>
      <c r="L57" s="15">
        <f>IF(J57&gt;0,J57,IF(K57&gt;0,K57,""))</f>
      </c>
      <c r="M57" s="13"/>
      <c r="N57" s="16">
        <f>IF(AND(L57&gt;0,M57&gt;0),L57*M57,"")</f>
      </c>
      <c r="O57" s="17">
        <f>IFERROR(VLOOKUP(E57,'Bar Weights'!$A$3:$B$13,2,FALSE),"")</f>
      </c>
      <c r="P57" s="18">
        <f>IF(AND(N57&gt;0,O57&gt;0),N57*O57,"")</f>
      </c>
    </row>
    <row r="58" spans="1:16" x14ac:dyDescent="0.25">
      <c r="A58" s="11"/>
      <c r="B58" s="11"/>
      <c r="C58" s="11"/>
      <c r="D58" s="11"/>
      <c r="E58" s="11"/>
      <c r="F58" s="11"/>
      <c r="G58" s="12"/>
      <c r="H58" s="13"/>
      <c r="I58" s="14"/>
      <c r="J58" s="14"/>
      <c r="K58" s="15">
        <f>IF(AND(G58&gt;0,H58&gt;0,I58&gt;0),(ROUNDUP(H58*12/G58,0)+1)*I58,"")</f>
      </c>
      <c r="L58" s="15">
        <f>IF(J58&gt;0,J58,IF(K58&gt;0,K58,""))</f>
      </c>
      <c r="M58" s="13"/>
      <c r="N58" s="16">
        <f>IF(AND(L58&gt;0,M58&gt;0),L58*M58,"")</f>
      </c>
      <c r="O58" s="17">
        <f>IFERROR(VLOOKUP(E58,'Bar Weights'!$A$3:$B$13,2,FALSE),"")</f>
      </c>
      <c r="P58" s="18">
        <f>IF(AND(N58&gt;0,O58&gt;0),N58*O58,"")</f>
      </c>
    </row>
    <row r="59" spans="1:16" x14ac:dyDescent="0.25">
      <c r="A59" s="11"/>
      <c r="B59" s="11"/>
      <c r="C59" s="11"/>
      <c r="D59" s="11"/>
      <c r="E59" s="11"/>
      <c r="F59" s="11"/>
      <c r="G59" s="12"/>
      <c r="H59" s="13"/>
      <c r="I59" s="14"/>
      <c r="J59" s="14"/>
      <c r="K59" s="15">
        <f>IF(AND(G59&gt;0,H59&gt;0,I59&gt;0),(ROUNDUP(H59*12/G59,0)+1)*I59,"")</f>
      </c>
      <c r="L59" s="15">
        <f>IF(J59&gt;0,J59,IF(K59&gt;0,K59,""))</f>
      </c>
      <c r="M59" s="13"/>
      <c r="N59" s="16">
        <f>IF(AND(L59&gt;0,M59&gt;0),L59*M59,"")</f>
      </c>
      <c r="O59" s="17">
        <f>IFERROR(VLOOKUP(E59,'Bar Weights'!$A$3:$B$13,2,FALSE),"")</f>
      </c>
      <c r="P59" s="18">
        <f>IF(AND(N59&gt;0,O59&gt;0),N59*O59,"")</f>
      </c>
    </row>
    <row r="60" spans="1:16" x14ac:dyDescent="0.25">
      <c r="A60" s="11"/>
      <c r="B60" s="11"/>
      <c r="C60" s="11"/>
      <c r="D60" s="11"/>
      <c r="E60" s="11"/>
      <c r="F60" s="11"/>
      <c r="G60" s="12"/>
      <c r="H60" s="13"/>
      <c r="I60" s="14"/>
      <c r="J60" s="14"/>
      <c r="K60" s="15">
        <f>IF(AND(G60&gt;0,H60&gt;0,I60&gt;0),(ROUNDUP(H60*12/G60,0)+1)*I60,"")</f>
      </c>
      <c r="L60" s="15">
        <f>IF(J60&gt;0,J60,IF(K60&gt;0,K60,""))</f>
      </c>
      <c r="M60" s="13"/>
      <c r="N60" s="16">
        <f>IF(AND(L60&gt;0,M60&gt;0),L60*M60,"")</f>
      </c>
      <c r="O60" s="17">
        <f>IFERROR(VLOOKUP(E60,'Bar Weights'!$A$3:$B$13,2,FALSE),"")</f>
      </c>
      <c r="P60" s="18">
        <f>IF(AND(N60&gt;0,O60&gt;0),N60*O60,"")</f>
      </c>
    </row>
    <row r="61" spans="1:16" x14ac:dyDescent="0.25">
      <c r="A61" s="11"/>
      <c r="B61" s="11"/>
      <c r="C61" s="11"/>
      <c r="D61" s="11"/>
      <c r="E61" s="11"/>
      <c r="F61" s="11"/>
      <c r="G61" s="12"/>
      <c r="H61" s="13"/>
      <c r="I61" s="14"/>
      <c r="J61" s="14"/>
      <c r="K61" s="15">
        <f>IF(AND(G61&gt;0,H61&gt;0,I61&gt;0),(ROUNDUP(H61*12/G61,0)+1)*I61,"")</f>
      </c>
      <c r="L61" s="15">
        <f>IF(J61&gt;0,J61,IF(K61&gt;0,K61,""))</f>
      </c>
      <c r="M61" s="13"/>
      <c r="N61" s="16">
        <f>IF(AND(L61&gt;0,M61&gt;0),L61*M61,"")</f>
      </c>
      <c r="O61" s="17">
        <f>IFERROR(VLOOKUP(E61,'Bar Weights'!$A$3:$B$13,2,FALSE),"")</f>
      </c>
      <c r="P61" s="18">
        <f>IF(AND(N61&gt;0,O61&gt;0),N61*O61,"")</f>
      </c>
    </row>
    <row r="62" spans="1:16" x14ac:dyDescent="0.25">
      <c r="A62" s="11"/>
      <c r="B62" s="11"/>
      <c r="C62" s="11"/>
      <c r="D62" s="11"/>
      <c r="E62" s="11"/>
      <c r="F62" s="11"/>
      <c r="G62" s="12"/>
      <c r="H62" s="13"/>
      <c r="I62" s="14"/>
      <c r="J62" s="14"/>
      <c r="K62" s="15">
        <f>IF(AND(G62&gt;0,H62&gt;0,I62&gt;0),(ROUNDUP(H62*12/G62,0)+1)*I62,"")</f>
      </c>
      <c r="L62" s="15">
        <f>IF(J62&gt;0,J62,IF(K62&gt;0,K62,""))</f>
      </c>
      <c r="M62" s="13"/>
      <c r="N62" s="16">
        <f>IF(AND(L62&gt;0,M62&gt;0),L62*M62,"")</f>
      </c>
      <c r="O62" s="17">
        <f>IFERROR(VLOOKUP(E62,'Bar Weights'!$A$3:$B$13,2,FALSE),"")</f>
      </c>
      <c r="P62" s="18">
        <f>IF(AND(N62&gt;0,O62&gt;0),N62*O62,"")</f>
      </c>
    </row>
    <row r="63" spans="1:16" x14ac:dyDescent="0.25">
      <c r="A63" s="11"/>
      <c r="B63" s="11"/>
      <c r="C63" s="11"/>
      <c r="D63" s="11"/>
      <c r="E63" s="11"/>
      <c r="F63" s="11"/>
      <c r="G63" s="12"/>
      <c r="H63" s="13"/>
      <c r="I63" s="14"/>
      <c r="J63" s="14"/>
      <c r="K63" s="15">
        <f>IF(AND(G63&gt;0,H63&gt;0,I63&gt;0),(ROUNDUP(H63*12/G63,0)+1)*I63,"")</f>
      </c>
      <c r="L63" s="15">
        <f>IF(J63&gt;0,J63,IF(K63&gt;0,K63,""))</f>
      </c>
      <c r="M63" s="13"/>
      <c r="N63" s="16">
        <f>IF(AND(L63&gt;0,M63&gt;0),L63*M63,"")</f>
      </c>
      <c r="O63" s="17">
        <f>IFERROR(VLOOKUP(E63,'Bar Weights'!$A$3:$B$13,2,FALSE),"")</f>
      </c>
      <c r="P63" s="18">
        <f>IF(AND(N63&gt;0,O63&gt;0),N63*O63,"")</f>
      </c>
    </row>
    <row r="64" spans="1:16" x14ac:dyDescent="0.25">
      <c r="A64" s="11"/>
      <c r="B64" s="11"/>
      <c r="C64" s="11"/>
      <c r="D64" s="11"/>
      <c r="E64" s="11"/>
      <c r="F64" s="11"/>
      <c r="G64" s="12"/>
      <c r="H64" s="13"/>
      <c r="I64" s="14"/>
      <c r="J64" s="14"/>
      <c r="K64" s="15">
        <f>IF(AND(G64&gt;0,H64&gt;0,I64&gt;0),(ROUNDUP(H64*12/G64,0)+1)*I64,"")</f>
      </c>
      <c r="L64" s="15">
        <f>IF(J64&gt;0,J64,IF(K64&gt;0,K64,""))</f>
      </c>
      <c r="M64" s="13"/>
      <c r="N64" s="16">
        <f>IF(AND(L64&gt;0,M64&gt;0),L64*M64,"")</f>
      </c>
      <c r="O64" s="17">
        <f>IFERROR(VLOOKUP(E64,'Bar Weights'!$A$3:$B$13,2,FALSE),"")</f>
      </c>
      <c r="P64" s="18">
        <f>IF(AND(N64&gt;0,O64&gt;0),N64*O64,"")</f>
      </c>
    </row>
    <row r="65" spans="1:16" x14ac:dyDescent="0.25">
      <c r="A65" s="11"/>
      <c r="B65" s="11"/>
      <c r="C65" s="11"/>
      <c r="D65" s="11"/>
      <c r="E65" s="11"/>
      <c r="F65" s="11"/>
      <c r="G65" s="12"/>
      <c r="H65" s="13"/>
      <c r="I65" s="14"/>
      <c r="J65" s="14"/>
      <c r="K65" s="15">
        <f>IF(AND(G65&gt;0,H65&gt;0,I65&gt;0),(ROUNDUP(H65*12/G65,0)+1)*I65,"")</f>
      </c>
      <c r="L65" s="15">
        <f>IF(J65&gt;0,J65,IF(K65&gt;0,K65,""))</f>
      </c>
      <c r="M65" s="13"/>
      <c r="N65" s="16">
        <f>IF(AND(L65&gt;0,M65&gt;0),L65*M65,"")</f>
      </c>
      <c r="O65" s="17">
        <f>IFERROR(VLOOKUP(E65,'Bar Weights'!$A$3:$B$13,2,FALSE),"")</f>
      </c>
      <c r="P65" s="18">
        <f>IF(AND(N65&gt;0,O65&gt;0),N65*O65,"")</f>
      </c>
    </row>
    <row r="66" spans="1:16" x14ac:dyDescent="0.25">
      <c r="A66" s="11"/>
      <c r="B66" s="11"/>
      <c r="C66" s="11"/>
      <c r="D66" s="11"/>
      <c r="E66" s="11"/>
      <c r="F66" s="11"/>
      <c r="G66" s="12"/>
      <c r="H66" s="13"/>
      <c r="I66" s="14"/>
      <c r="J66" s="14"/>
      <c r="K66" s="15">
        <f>IF(AND(G66&gt;0,H66&gt;0,I66&gt;0),(ROUNDUP(H66*12/G66,0)+1)*I66,"")</f>
      </c>
      <c r="L66" s="15">
        <f>IF(J66&gt;0,J66,IF(K66&gt;0,K66,""))</f>
      </c>
      <c r="M66" s="13"/>
      <c r="N66" s="16">
        <f>IF(AND(L66&gt;0,M66&gt;0),L66*M66,"")</f>
      </c>
      <c r="O66" s="17">
        <f>IFERROR(VLOOKUP(E66,'Bar Weights'!$A$3:$B$13,2,FALSE),"")</f>
      </c>
      <c r="P66" s="18">
        <f>IF(AND(N66&gt;0,O66&gt;0),N66*O66,"")</f>
      </c>
    </row>
    <row r="67" spans="1:16" x14ac:dyDescent="0.25">
      <c r="A67" s="11"/>
      <c r="B67" s="11"/>
      <c r="C67" s="11"/>
      <c r="D67" s="11"/>
      <c r="E67" s="11"/>
      <c r="F67" s="11"/>
      <c r="G67" s="12"/>
      <c r="H67" s="13"/>
      <c r="I67" s="14"/>
      <c r="J67" s="14"/>
      <c r="K67" s="15">
        <f>IF(AND(G67&gt;0,H67&gt;0,I67&gt;0),(ROUNDUP(H67*12/G67,0)+1)*I67,"")</f>
      </c>
      <c r="L67" s="15">
        <f>IF(J67&gt;0,J67,IF(K67&gt;0,K67,""))</f>
      </c>
      <c r="M67" s="13"/>
      <c r="N67" s="16">
        <f>IF(AND(L67&gt;0,M67&gt;0),L67*M67,"")</f>
      </c>
      <c r="O67" s="17">
        <f>IFERROR(VLOOKUP(E67,'Bar Weights'!$A$3:$B$13,2,FALSE),"")</f>
      </c>
      <c r="P67" s="18">
        <f>IF(AND(N67&gt;0,O67&gt;0),N67*O67,"")</f>
      </c>
    </row>
    <row r="68" spans="1:16" x14ac:dyDescent="0.25">
      <c r="A68" s="11"/>
      <c r="B68" s="11"/>
      <c r="C68" s="11"/>
      <c r="D68" s="11"/>
      <c r="E68" s="11"/>
      <c r="F68" s="11"/>
      <c r="G68" s="12"/>
      <c r="H68" s="13"/>
      <c r="I68" s="14"/>
      <c r="J68" s="14"/>
      <c r="K68" s="15">
        <f>IF(AND(G68&gt;0,H68&gt;0,I68&gt;0),(ROUNDUP(H68*12/G68,0)+1)*I68,"")</f>
      </c>
      <c r="L68" s="15">
        <f>IF(J68&gt;0,J68,IF(K68&gt;0,K68,""))</f>
      </c>
      <c r="M68" s="13"/>
      <c r="N68" s="16">
        <f>IF(AND(L68&gt;0,M68&gt;0),L68*M68,"")</f>
      </c>
      <c r="O68" s="17">
        <f>IFERROR(VLOOKUP(E68,'Bar Weights'!$A$3:$B$13,2,FALSE),"")</f>
      </c>
      <c r="P68" s="18">
        <f>IF(AND(N68&gt;0,O68&gt;0),N68*O68,"")</f>
      </c>
    </row>
    <row r="69" spans="1:16" x14ac:dyDescent="0.25">
      <c r="A69" s="11"/>
      <c r="B69" s="11"/>
      <c r="C69" s="11"/>
      <c r="D69" s="11"/>
      <c r="E69" s="11"/>
      <c r="F69" s="11"/>
      <c r="G69" s="12"/>
      <c r="H69" s="13"/>
      <c r="I69" s="14"/>
      <c r="J69" s="14"/>
      <c r="K69" s="15">
        <f>IF(AND(G69&gt;0,H69&gt;0,I69&gt;0),(ROUNDUP(H69*12/G69,0)+1)*I69,"")</f>
      </c>
      <c r="L69" s="15">
        <f>IF(J69&gt;0,J69,IF(K69&gt;0,K69,""))</f>
      </c>
      <c r="M69" s="13"/>
      <c r="N69" s="16">
        <f>IF(AND(L69&gt;0,M69&gt;0),L69*M69,"")</f>
      </c>
      <c r="O69" s="17">
        <f>IFERROR(VLOOKUP(E69,'Bar Weights'!$A$3:$B$13,2,FALSE),"")</f>
      </c>
      <c r="P69" s="18">
        <f>IF(AND(N69&gt;0,O69&gt;0),N69*O69,"")</f>
      </c>
    </row>
    <row r="70" spans="1:16" x14ac:dyDescent="0.25">
      <c r="A70" s="11"/>
      <c r="B70" s="11"/>
      <c r="C70" s="11"/>
      <c r="D70" s="11"/>
      <c r="E70" s="11"/>
      <c r="F70" s="11"/>
      <c r="G70" s="12"/>
      <c r="H70" s="13"/>
      <c r="I70" s="14"/>
      <c r="J70" s="14"/>
      <c r="K70" s="15">
        <f>IF(AND(G70&gt;0,H70&gt;0,I70&gt;0),(ROUNDUP(H70*12/G70,0)+1)*I70,"")</f>
      </c>
      <c r="L70" s="15">
        <f>IF(J70&gt;0,J70,IF(K70&gt;0,K70,""))</f>
      </c>
      <c r="M70" s="13"/>
      <c r="N70" s="16">
        <f>IF(AND(L70&gt;0,M70&gt;0),L70*M70,"")</f>
      </c>
      <c r="O70" s="17">
        <f>IFERROR(VLOOKUP(E70,'Bar Weights'!$A$3:$B$13,2,FALSE),"")</f>
      </c>
      <c r="P70" s="18">
        <f>IF(AND(N70&gt;0,O70&gt;0),N70*O70,"")</f>
      </c>
    </row>
    <row r="71" spans="1:16" x14ac:dyDescent="0.25">
      <c r="A71" s="11"/>
      <c r="B71" s="11"/>
      <c r="C71" s="11"/>
      <c r="D71" s="11"/>
      <c r="E71" s="11"/>
      <c r="F71" s="11"/>
      <c r="G71" s="12"/>
      <c r="H71" s="13"/>
      <c r="I71" s="14"/>
      <c r="J71" s="14"/>
      <c r="K71" s="15">
        <f>IF(AND(G71&gt;0,H71&gt;0,I71&gt;0),(ROUNDUP(H71*12/G71,0)+1)*I71,"")</f>
      </c>
      <c r="L71" s="15">
        <f>IF(J71&gt;0,J71,IF(K71&gt;0,K71,""))</f>
      </c>
      <c r="M71" s="13"/>
      <c r="N71" s="16">
        <f>IF(AND(L71&gt;0,M71&gt;0),L71*M71,"")</f>
      </c>
      <c r="O71" s="17">
        <f>IFERROR(VLOOKUP(E71,'Bar Weights'!$A$3:$B$13,2,FALSE),"")</f>
      </c>
      <c r="P71" s="18">
        <f>IF(AND(N71&gt;0,O71&gt;0),N71*O71,"")</f>
      </c>
    </row>
    <row r="72" spans="1:16" x14ac:dyDescent="0.25">
      <c r="A72" s="11"/>
      <c r="B72" s="11"/>
      <c r="C72" s="11"/>
      <c r="D72" s="11"/>
      <c r="E72" s="11"/>
      <c r="F72" s="11"/>
      <c r="G72" s="12"/>
      <c r="H72" s="13"/>
      <c r="I72" s="14"/>
      <c r="J72" s="14"/>
      <c r="K72" s="15">
        <f>IF(AND(G72&gt;0,H72&gt;0,I72&gt;0),(ROUNDUP(H72*12/G72,0)+1)*I72,"")</f>
      </c>
      <c r="L72" s="15">
        <f>IF(J72&gt;0,J72,IF(K72&gt;0,K72,""))</f>
      </c>
      <c r="M72" s="13"/>
      <c r="N72" s="16">
        <f>IF(AND(L72&gt;0,M72&gt;0),L72*M72,"")</f>
      </c>
      <c r="O72" s="17">
        <f>IFERROR(VLOOKUP(E72,'Bar Weights'!$A$3:$B$13,2,FALSE),"")</f>
      </c>
      <c r="P72" s="18">
        <f>IF(AND(N72&gt;0,O72&gt;0),N72*O72,"")</f>
      </c>
    </row>
    <row r="73" spans="1:16" x14ac:dyDescent="0.25">
      <c r="A73" s="11"/>
      <c r="B73" s="11"/>
      <c r="C73" s="11"/>
      <c r="D73" s="11"/>
      <c r="E73" s="11"/>
      <c r="F73" s="11"/>
      <c r="G73" s="12"/>
      <c r="H73" s="13"/>
      <c r="I73" s="14"/>
      <c r="J73" s="14"/>
      <c r="K73" s="15">
        <f>IF(AND(G73&gt;0,H73&gt;0,I73&gt;0),(ROUNDUP(H73*12/G73,0)+1)*I73,"")</f>
      </c>
      <c r="L73" s="15">
        <f>IF(J73&gt;0,J73,IF(K73&gt;0,K73,""))</f>
      </c>
      <c r="M73" s="13"/>
      <c r="N73" s="16">
        <f>IF(AND(L73&gt;0,M73&gt;0),L73*M73,"")</f>
      </c>
      <c r="O73" s="17">
        <f>IFERROR(VLOOKUP(E73,'Bar Weights'!$A$3:$B$13,2,FALSE),"")</f>
      </c>
      <c r="P73" s="18">
        <f>IF(AND(N73&gt;0,O73&gt;0),N73*O73,"")</f>
      </c>
    </row>
    <row r="74" spans="1:16" x14ac:dyDescent="0.25">
      <c r="A74" s="11"/>
      <c r="B74" s="11"/>
      <c r="C74" s="11"/>
      <c r="D74" s="11"/>
      <c r="E74" s="11"/>
      <c r="F74" s="11"/>
      <c r="G74" s="12"/>
      <c r="H74" s="13"/>
      <c r="I74" s="14"/>
      <c r="J74" s="14"/>
      <c r="K74" s="15">
        <f>IF(AND(G74&gt;0,H74&gt;0,I74&gt;0),(ROUNDUP(H74*12/G74,0)+1)*I74,"")</f>
      </c>
      <c r="L74" s="15">
        <f>IF(J74&gt;0,J74,IF(K74&gt;0,K74,""))</f>
      </c>
      <c r="M74" s="13"/>
      <c r="N74" s="16">
        <f>IF(AND(L74&gt;0,M74&gt;0),L74*M74,"")</f>
      </c>
      <c r="O74" s="17">
        <f>IFERROR(VLOOKUP(E74,'Bar Weights'!$A$3:$B$13,2,FALSE),"")</f>
      </c>
      <c r="P74" s="18">
        <f>IF(AND(N74&gt;0,O74&gt;0),N74*O74,"")</f>
      </c>
    </row>
    <row r="75" spans="1:16" x14ac:dyDescent="0.25">
      <c r="A75" s="11"/>
      <c r="B75" s="11"/>
      <c r="C75" s="11"/>
      <c r="D75" s="11"/>
      <c r="E75" s="11"/>
      <c r="F75" s="11"/>
      <c r="G75" s="12"/>
      <c r="H75" s="13"/>
      <c r="I75" s="14"/>
      <c r="J75" s="14"/>
      <c r="K75" s="15">
        <f>IF(AND(G75&gt;0,H75&gt;0,I75&gt;0),(ROUNDUP(H75*12/G75,0)+1)*I75,"")</f>
      </c>
      <c r="L75" s="15">
        <f>IF(J75&gt;0,J75,IF(K75&gt;0,K75,""))</f>
      </c>
      <c r="M75" s="13"/>
      <c r="N75" s="16">
        <f>IF(AND(L75&gt;0,M75&gt;0),L75*M75,"")</f>
      </c>
      <c r="O75" s="17">
        <f>IFERROR(VLOOKUP(E75,'Bar Weights'!$A$3:$B$13,2,FALSE),"")</f>
      </c>
      <c r="P75" s="18">
        <f>IF(AND(N75&gt;0,O75&gt;0),N75*O75,"")</f>
      </c>
    </row>
    <row r="76" spans="1:16" x14ac:dyDescent="0.25">
      <c r="A76" s="11"/>
      <c r="B76" s="11"/>
      <c r="C76" s="11"/>
      <c r="D76" s="11"/>
      <c r="E76" s="11"/>
      <c r="F76" s="11"/>
      <c r="G76" s="12"/>
      <c r="H76" s="13"/>
      <c r="I76" s="14"/>
      <c r="J76" s="14"/>
      <c r="K76" s="15">
        <f>IF(AND(G76&gt;0,H76&gt;0,I76&gt;0),(ROUNDUP(H76*12/G76,0)+1)*I76,"")</f>
      </c>
      <c r="L76" s="15">
        <f>IF(J76&gt;0,J76,IF(K76&gt;0,K76,""))</f>
      </c>
      <c r="M76" s="13"/>
      <c r="N76" s="16">
        <f>IF(AND(L76&gt;0,M76&gt;0),L76*M76,"")</f>
      </c>
      <c r="O76" s="17">
        <f>IFERROR(VLOOKUP(E76,'Bar Weights'!$A$3:$B$13,2,FALSE),"")</f>
      </c>
      <c r="P76" s="18">
        <f>IF(AND(N76&gt;0,O76&gt;0),N76*O76,"")</f>
      </c>
    </row>
    <row r="77" spans="1:16" x14ac:dyDescent="0.25">
      <c r="A77" s="11"/>
      <c r="B77" s="11"/>
      <c r="C77" s="11"/>
      <c r="D77" s="11"/>
      <c r="E77" s="11"/>
      <c r="F77" s="11"/>
      <c r="G77" s="12"/>
      <c r="H77" s="13"/>
      <c r="I77" s="14"/>
      <c r="J77" s="14"/>
      <c r="K77" s="15">
        <f>IF(AND(G77&gt;0,H77&gt;0,I77&gt;0),(ROUNDUP(H77*12/G77,0)+1)*I77,"")</f>
      </c>
      <c r="L77" s="15">
        <f>IF(J77&gt;0,J77,IF(K77&gt;0,K77,""))</f>
      </c>
      <c r="M77" s="13"/>
      <c r="N77" s="16">
        <f>IF(AND(L77&gt;0,M77&gt;0),L77*M77,"")</f>
      </c>
      <c r="O77" s="17">
        <f>IFERROR(VLOOKUP(E77,'Bar Weights'!$A$3:$B$13,2,FALSE),"")</f>
      </c>
      <c r="P77" s="18">
        <f>IF(AND(N77&gt;0,O77&gt;0),N77*O77,"")</f>
      </c>
    </row>
    <row r="78" spans="1:16" x14ac:dyDescent="0.25">
      <c r="A78" s="11"/>
      <c r="B78" s="11"/>
      <c r="C78" s="11"/>
      <c r="D78" s="11"/>
      <c r="E78" s="11"/>
      <c r="F78" s="11"/>
      <c r="G78" s="12"/>
      <c r="H78" s="13"/>
      <c r="I78" s="14"/>
      <c r="J78" s="14"/>
      <c r="K78" s="15">
        <f>IF(AND(G78&gt;0,H78&gt;0,I78&gt;0),(ROUNDUP(H78*12/G78,0)+1)*I78,"")</f>
      </c>
      <c r="L78" s="15">
        <f>IF(J78&gt;0,J78,IF(K78&gt;0,K78,""))</f>
      </c>
      <c r="M78" s="13"/>
      <c r="N78" s="16">
        <f>IF(AND(L78&gt;0,M78&gt;0),L78*M78,"")</f>
      </c>
      <c r="O78" s="17">
        <f>IFERROR(VLOOKUP(E78,'Bar Weights'!$A$3:$B$13,2,FALSE),"")</f>
      </c>
      <c r="P78" s="18">
        <f>IF(AND(N78&gt;0,O78&gt;0),N78*O78,"")</f>
      </c>
    </row>
    <row r="79" spans="1:16" x14ac:dyDescent="0.25">
      <c r="A79" s="11"/>
      <c r="B79" s="11"/>
      <c r="C79" s="11"/>
      <c r="D79" s="11"/>
      <c r="E79" s="11"/>
      <c r="F79" s="11"/>
      <c r="G79" s="12"/>
      <c r="H79" s="13"/>
      <c r="I79" s="14"/>
      <c r="J79" s="14"/>
      <c r="K79" s="15">
        <f>IF(AND(G79&gt;0,H79&gt;0,I79&gt;0),(ROUNDUP(H79*12/G79,0)+1)*I79,"")</f>
      </c>
      <c r="L79" s="15">
        <f>IF(J79&gt;0,J79,IF(K79&gt;0,K79,""))</f>
      </c>
      <c r="M79" s="13"/>
      <c r="N79" s="16">
        <f>IF(AND(L79&gt;0,M79&gt;0),L79*M79,"")</f>
      </c>
      <c r="O79" s="17">
        <f>IFERROR(VLOOKUP(E79,'Bar Weights'!$A$3:$B$13,2,FALSE),"")</f>
      </c>
      <c r="P79" s="18">
        <f>IF(AND(N79&gt;0,O79&gt;0),N79*O79,"")</f>
      </c>
    </row>
    <row r="80" spans="1:16" x14ac:dyDescent="0.25">
      <c r="A80" s="11"/>
      <c r="B80" s="11"/>
      <c r="C80" s="11"/>
      <c r="D80" s="11"/>
      <c r="E80" s="11"/>
      <c r="F80" s="11"/>
      <c r="G80" s="12"/>
      <c r="H80" s="13"/>
      <c r="I80" s="14"/>
      <c r="J80" s="14"/>
      <c r="K80" s="15">
        <f>IF(AND(G80&gt;0,H80&gt;0,I80&gt;0),(ROUNDUP(H80*12/G80,0)+1)*I80,"")</f>
      </c>
      <c r="L80" s="15">
        <f>IF(J80&gt;0,J80,IF(K80&gt;0,K80,""))</f>
      </c>
      <c r="M80" s="13"/>
      <c r="N80" s="16">
        <f>IF(AND(L80&gt;0,M80&gt;0),L80*M80,"")</f>
      </c>
      <c r="O80" s="17">
        <f>IFERROR(VLOOKUP(E80,'Bar Weights'!$A$3:$B$13,2,FALSE),"")</f>
      </c>
      <c r="P80" s="18">
        <f>IF(AND(N80&gt;0,O80&gt;0),N80*O80,"")</f>
      </c>
    </row>
    <row r="81" spans="1:16" x14ac:dyDescent="0.25">
      <c r="A81" s="11"/>
      <c r="B81" s="11"/>
      <c r="C81" s="11"/>
      <c r="D81" s="11"/>
      <c r="E81" s="11"/>
      <c r="F81" s="11"/>
      <c r="G81" s="12"/>
      <c r="H81" s="13"/>
      <c r="I81" s="14"/>
      <c r="J81" s="14"/>
      <c r="K81" s="15">
        <f>IF(AND(G81&gt;0,H81&gt;0,I81&gt;0),(ROUNDUP(H81*12/G81,0)+1)*I81,"")</f>
      </c>
      <c r="L81" s="15">
        <f>IF(J81&gt;0,J81,IF(K81&gt;0,K81,""))</f>
      </c>
      <c r="M81" s="13"/>
      <c r="N81" s="16">
        <f>IF(AND(L81&gt;0,M81&gt;0),L81*M81,"")</f>
      </c>
      <c r="O81" s="17">
        <f>IFERROR(VLOOKUP(E81,'Bar Weights'!$A$3:$B$13,2,FALSE),"")</f>
      </c>
      <c r="P81" s="18">
        <f>IF(AND(N81&gt;0,O81&gt;0),N81*O81,"")</f>
      </c>
    </row>
    <row r="82" spans="1:16" x14ac:dyDescent="0.25">
      <c r="A82" s="11"/>
      <c r="B82" s="11"/>
      <c r="C82" s="11"/>
      <c r="D82" s="11"/>
      <c r="E82" s="11"/>
      <c r="F82" s="11"/>
      <c r="G82" s="12"/>
      <c r="H82" s="13"/>
      <c r="I82" s="14"/>
      <c r="J82" s="14"/>
      <c r="K82" s="15">
        <f>IF(AND(G82&gt;0,H82&gt;0,I82&gt;0),(ROUNDUP(H82*12/G82,0)+1)*I82,"")</f>
      </c>
      <c r="L82" s="15">
        <f>IF(J82&gt;0,J82,IF(K82&gt;0,K82,""))</f>
      </c>
      <c r="M82" s="13"/>
      <c r="N82" s="16">
        <f>IF(AND(L82&gt;0,M82&gt;0),L82*M82,"")</f>
      </c>
      <c r="O82" s="17">
        <f>IFERROR(VLOOKUP(E82,'Bar Weights'!$A$3:$B$13,2,FALSE),"")</f>
      </c>
      <c r="P82" s="18">
        <f>IF(AND(N82&gt;0,O82&gt;0),N82*O82,"")</f>
      </c>
    </row>
    <row r="83" spans="1:16" x14ac:dyDescent="0.25">
      <c r="A83" s="11"/>
      <c r="B83" s="11"/>
      <c r="C83" s="11"/>
      <c r="D83" s="11"/>
      <c r="E83" s="11"/>
      <c r="F83" s="11"/>
      <c r="G83" s="12"/>
      <c r="H83" s="13"/>
      <c r="I83" s="14"/>
      <c r="J83" s="14"/>
      <c r="K83" s="15">
        <f>IF(AND(G83&gt;0,H83&gt;0,I83&gt;0),(ROUNDUP(H83*12/G83,0)+1)*I83,"")</f>
      </c>
      <c r="L83" s="15">
        <f>IF(J83&gt;0,J83,IF(K83&gt;0,K83,""))</f>
      </c>
      <c r="M83" s="13"/>
      <c r="N83" s="16">
        <f>IF(AND(L83&gt;0,M83&gt;0),L83*M83,"")</f>
      </c>
      <c r="O83" s="17">
        <f>IFERROR(VLOOKUP(E83,'Bar Weights'!$A$3:$B$13,2,FALSE),"")</f>
      </c>
      <c r="P83" s="18">
        <f>IF(AND(N83&gt;0,O83&gt;0),N83*O83,"")</f>
      </c>
    </row>
    <row r="84" spans="1:16" x14ac:dyDescent="0.25">
      <c r="A84" s="11"/>
      <c r="B84" s="11"/>
      <c r="C84" s="11"/>
      <c r="D84" s="11"/>
      <c r="E84" s="11"/>
      <c r="F84" s="11"/>
      <c r="G84" s="12"/>
      <c r="H84" s="13"/>
      <c r="I84" s="14"/>
      <c r="J84" s="14"/>
      <c r="K84" s="15">
        <f>IF(AND(G84&gt;0,H84&gt;0,I84&gt;0),(ROUNDUP(H84*12/G84,0)+1)*I84,"")</f>
      </c>
      <c r="L84" s="15">
        <f>IF(J84&gt;0,J84,IF(K84&gt;0,K84,""))</f>
      </c>
      <c r="M84" s="13"/>
      <c r="N84" s="16">
        <f>IF(AND(L84&gt;0,M84&gt;0),L84*M84,"")</f>
      </c>
      <c r="O84" s="17">
        <f>IFERROR(VLOOKUP(E84,'Bar Weights'!$A$3:$B$13,2,FALSE),"")</f>
      </c>
      <c r="P84" s="18">
        <f>IF(AND(N84&gt;0,O84&gt;0),N84*O84,"")</f>
      </c>
    </row>
    <row r="85" spans="1:16" x14ac:dyDescent="0.25">
      <c r="A85" s="11"/>
      <c r="B85" s="11"/>
      <c r="C85" s="11"/>
      <c r="D85" s="11"/>
      <c r="E85" s="11"/>
      <c r="F85" s="11"/>
      <c r="G85" s="12"/>
      <c r="H85" s="13"/>
      <c r="I85" s="14"/>
      <c r="J85" s="14"/>
      <c r="K85" s="15">
        <f>IF(AND(G85&gt;0,H85&gt;0,I85&gt;0),(ROUNDUP(H85*12/G85,0)+1)*I85,"")</f>
      </c>
      <c r="L85" s="15">
        <f>IF(J85&gt;0,J85,IF(K85&gt;0,K85,""))</f>
      </c>
      <c r="M85" s="13"/>
      <c r="N85" s="16">
        <f>IF(AND(L85&gt;0,M85&gt;0),L85*M85,"")</f>
      </c>
      <c r="O85" s="17">
        <f>IFERROR(VLOOKUP(E85,'Bar Weights'!$A$3:$B$13,2,FALSE),"")</f>
      </c>
      <c r="P85" s="18">
        <f>IF(AND(N85&gt;0,O85&gt;0),N85*O85,"")</f>
      </c>
    </row>
    <row r="86" spans="1:16" x14ac:dyDescent="0.25">
      <c r="A86" s="11"/>
      <c r="B86" s="11"/>
      <c r="C86" s="11"/>
      <c r="D86" s="11"/>
      <c r="E86" s="11"/>
      <c r="F86" s="11"/>
      <c r="G86" s="12"/>
      <c r="H86" s="13"/>
      <c r="I86" s="14"/>
      <c r="J86" s="14"/>
      <c r="K86" s="15">
        <f>IF(AND(G86&gt;0,H86&gt;0,I86&gt;0),(ROUNDUP(H86*12/G86,0)+1)*I86,"")</f>
      </c>
      <c r="L86" s="15">
        <f>IF(J86&gt;0,J86,IF(K86&gt;0,K86,""))</f>
      </c>
      <c r="M86" s="13"/>
      <c r="N86" s="16">
        <f>IF(AND(L86&gt;0,M86&gt;0),L86*M86,"")</f>
      </c>
      <c r="O86" s="17">
        <f>IFERROR(VLOOKUP(E86,'Bar Weights'!$A$3:$B$13,2,FALSE),"")</f>
      </c>
      <c r="P86" s="18">
        <f>IF(AND(N86&gt;0,O86&gt;0),N86*O86,"")</f>
      </c>
    </row>
    <row r="87" spans="1:16" x14ac:dyDescent="0.25">
      <c r="A87" s="11"/>
      <c r="B87" s="11"/>
      <c r="C87" s="11"/>
      <c r="D87" s="11"/>
      <c r="E87" s="11"/>
      <c r="F87" s="11"/>
      <c r="G87" s="12"/>
      <c r="H87" s="13"/>
      <c r="I87" s="14"/>
      <c r="J87" s="14"/>
      <c r="K87" s="15">
        <f>IF(AND(G87&gt;0,H87&gt;0,I87&gt;0),(ROUNDUP(H87*12/G87,0)+1)*I87,"")</f>
      </c>
      <c r="L87" s="15">
        <f>IF(J87&gt;0,J87,IF(K87&gt;0,K87,""))</f>
      </c>
      <c r="M87" s="13"/>
      <c r="N87" s="16">
        <f>IF(AND(L87&gt;0,M87&gt;0),L87*M87,"")</f>
      </c>
      <c r="O87" s="17">
        <f>IFERROR(VLOOKUP(E87,'Bar Weights'!$A$3:$B$13,2,FALSE),"")</f>
      </c>
      <c r="P87" s="18">
        <f>IF(AND(N87&gt;0,O87&gt;0),N87*O87,"")</f>
      </c>
    </row>
    <row r="88" spans="1:16" x14ac:dyDescent="0.25">
      <c r="A88" s="11"/>
      <c r="B88" s="11"/>
      <c r="C88" s="11"/>
      <c r="D88" s="11"/>
      <c r="E88" s="11"/>
      <c r="F88" s="11"/>
      <c r="G88" s="12"/>
      <c r="H88" s="13"/>
      <c r="I88" s="14"/>
      <c r="J88" s="14"/>
      <c r="K88" s="15">
        <f>IF(AND(G88&gt;0,H88&gt;0,I88&gt;0),(ROUNDUP(H88*12/G88,0)+1)*I88,"")</f>
      </c>
      <c r="L88" s="15">
        <f>IF(J88&gt;0,J88,IF(K88&gt;0,K88,""))</f>
      </c>
      <c r="M88" s="13"/>
      <c r="N88" s="16">
        <f>IF(AND(L88&gt;0,M88&gt;0),L88*M88,"")</f>
      </c>
      <c r="O88" s="17">
        <f>IFERROR(VLOOKUP(E88,'Bar Weights'!$A$3:$B$13,2,FALSE),"")</f>
      </c>
      <c r="P88" s="18">
        <f>IF(AND(N88&gt;0,O88&gt;0),N88*O88,"")</f>
      </c>
    </row>
    <row r="89" spans="1:16" x14ac:dyDescent="0.25">
      <c r="A89" s="11"/>
      <c r="B89" s="11"/>
      <c r="C89" s="11"/>
      <c r="D89" s="11"/>
      <c r="E89" s="11"/>
      <c r="F89" s="11"/>
      <c r="G89" s="12"/>
      <c r="H89" s="13"/>
      <c r="I89" s="14"/>
      <c r="J89" s="14"/>
      <c r="K89" s="15">
        <f>IF(AND(G89&gt;0,H89&gt;0,I89&gt;0),(ROUNDUP(H89*12/G89,0)+1)*I89,"")</f>
      </c>
      <c r="L89" s="15">
        <f>IF(J89&gt;0,J89,IF(K89&gt;0,K89,""))</f>
      </c>
      <c r="M89" s="13"/>
      <c r="N89" s="16">
        <f>IF(AND(L89&gt;0,M89&gt;0),L89*M89,"")</f>
      </c>
      <c r="O89" s="17">
        <f>IFERROR(VLOOKUP(E89,'Bar Weights'!$A$3:$B$13,2,FALSE),"")</f>
      </c>
      <c r="P89" s="18">
        <f>IF(AND(N89&gt;0,O89&gt;0),N89*O89,"")</f>
      </c>
    </row>
    <row r="90" spans="1:16" x14ac:dyDescent="0.25">
      <c r="A90" s="11"/>
      <c r="B90" s="11"/>
      <c r="C90" s="11"/>
      <c r="D90" s="11"/>
      <c r="E90" s="11"/>
      <c r="F90" s="11"/>
      <c r="G90" s="12"/>
      <c r="H90" s="13"/>
      <c r="I90" s="14"/>
      <c r="J90" s="14"/>
      <c r="K90" s="15">
        <f>IF(AND(G90&gt;0,H90&gt;0,I90&gt;0),(ROUNDUP(H90*12/G90,0)+1)*I90,"")</f>
      </c>
      <c r="L90" s="15">
        <f>IF(J90&gt;0,J90,IF(K90&gt;0,K90,""))</f>
      </c>
      <c r="M90" s="13"/>
      <c r="N90" s="16">
        <f>IF(AND(L90&gt;0,M90&gt;0),L90*M90,"")</f>
      </c>
      <c r="O90" s="17">
        <f>IFERROR(VLOOKUP(E90,'Bar Weights'!$A$3:$B$13,2,FALSE),"")</f>
      </c>
      <c r="P90" s="18">
        <f>IF(AND(N90&gt;0,O90&gt;0),N90*O90,"")</f>
      </c>
    </row>
    <row r="91" spans="1:16" x14ac:dyDescent="0.25">
      <c r="A91" s="11"/>
      <c r="B91" s="11"/>
      <c r="C91" s="11"/>
      <c r="D91" s="11"/>
      <c r="E91" s="11"/>
      <c r="F91" s="11"/>
      <c r="G91" s="12"/>
      <c r="H91" s="13"/>
      <c r="I91" s="14"/>
      <c r="J91" s="14"/>
      <c r="K91" s="15">
        <f>IF(AND(G91&gt;0,H91&gt;0,I91&gt;0),(ROUNDUP(H91*12/G91,0)+1)*I91,"")</f>
      </c>
      <c r="L91" s="15">
        <f>IF(J91&gt;0,J91,IF(K91&gt;0,K91,""))</f>
      </c>
      <c r="M91" s="13"/>
      <c r="N91" s="16">
        <f>IF(AND(L91&gt;0,M91&gt;0),L91*M91,"")</f>
      </c>
      <c r="O91" s="17">
        <f>IFERROR(VLOOKUP(E91,'Bar Weights'!$A$3:$B$13,2,FALSE),"")</f>
      </c>
      <c r="P91" s="18">
        <f>IF(AND(N91&gt;0,O91&gt;0),N91*O91,"")</f>
      </c>
    </row>
    <row r="92" spans="1:16" x14ac:dyDescent="0.25">
      <c r="A92" s="11"/>
      <c r="B92" s="11"/>
      <c r="C92" s="11"/>
      <c r="D92" s="11"/>
      <c r="E92" s="11"/>
      <c r="F92" s="11"/>
      <c r="G92" s="12"/>
      <c r="H92" s="13"/>
      <c r="I92" s="14"/>
      <c r="J92" s="14"/>
      <c r="K92" s="15">
        <f>IF(AND(G92&gt;0,H92&gt;0,I92&gt;0),(ROUNDUP(H92*12/G92,0)+1)*I92,"")</f>
      </c>
      <c r="L92" s="15">
        <f>IF(J92&gt;0,J92,IF(K92&gt;0,K92,""))</f>
      </c>
      <c r="M92" s="13"/>
      <c r="N92" s="16">
        <f>IF(AND(L92&gt;0,M92&gt;0),L92*M92,"")</f>
      </c>
      <c r="O92" s="17">
        <f>IFERROR(VLOOKUP(E92,'Bar Weights'!$A$3:$B$13,2,FALSE),"")</f>
      </c>
      <c r="P92" s="18">
        <f>IF(AND(N92&gt;0,O92&gt;0),N92*O92,"")</f>
      </c>
    </row>
    <row r="93" spans="1:16" x14ac:dyDescent="0.25">
      <c r="A93" s="11"/>
      <c r="B93" s="11"/>
      <c r="C93" s="11"/>
      <c r="D93" s="11"/>
      <c r="E93" s="11"/>
      <c r="F93" s="11"/>
      <c r="G93" s="12"/>
      <c r="H93" s="13"/>
      <c r="I93" s="14"/>
      <c r="J93" s="14"/>
      <c r="K93" s="15">
        <f>IF(AND(G93&gt;0,H93&gt;0,I93&gt;0),(ROUNDUP(H93*12/G93,0)+1)*I93,"")</f>
      </c>
      <c r="L93" s="15">
        <f>IF(J93&gt;0,J93,IF(K93&gt;0,K93,""))</f>
      </c>
      <c r="M93" s="13"/>
      <c r="N93" s="16">
        <f>IF(AND(L93&gt;0,M93&gt;0),L93*M93,"")</f>
      </c>
      <c r="O93" s="17">
        <f>IFERROR(VLOOKUP(E93,'Bar Weights'!$A$3:$B$13,2,FALSE),"")</f>
      </c>
      <c r="P93" s="18">
        <f>IF(AND(N93&gt;0,O93&gt;0),N93*O93,"")</f>
      </c>
    </row>
    <row r="94" spans="1:16" x14ac:dyDescent="0.25">
      <c r="A94" s="11"/>
      <c r="B94" s="11"/>
      <c r="C94" s="11"/>
      <c r="D94" s="11"/>
      <c r="E94" s="11"/>
      <c r="F94" s="11"/>
      <c r="G94" s="12"/>
      <c r="H94" s="13"/>
      <c r="I94" s="14"/>
      <c r="J94" s="14"/>
      <c r="K94" s="15">
        <f>IF(AND(G94&gt;0,H94&gt;0,I94&gt;0),(ROUNDUP(H94*12/G94,0)+1)*I94,"")</f>
      </c>
      <c r="L94" s="15">
        <f>IF(J94&gt;0,J94,IF(K94&gt;0,K94,""))</f>
      </c>
      <c r="M94" s="13"/>
      <c r="N94" s="16">
        <f>IF(AND(L94&gt;0,M94&gt;0),L94*M94,"")</f>
      </c>
      <c r="O94" s="17">
        <f>IFERROR(VLOOKUP(E94,'Bar Weights'!$A$3:$B$13,2,FALSE),"")</f>
      </c>
      <c r="P94" s="18">
        <f>IF(AND(N94&gt;0,O94&gt;0),N94*O94,"")</f>
      </c>
    </row>
    <row r="95" spans="1:16" x14ac:dyDescent="0.25">
      <c r="A95" s="11"/>
      <c r="B95" s="11"/>
      <c r="C95" s="11"/>
      <c r="D95" s="11"/>
      <c r="E95" s="11"/>
      <c r="F95" s="11"/>
      <c r="G95" s="12"/>
      <c r="H95" s="13"/>
      <c r="I95" s="14"/>
      <c r="J95" s="14"/>
      <c r="K95" s="15">
        <f>IF(AND(G95&gt;0,H95&gt;0,I95&gt;0),(ROUNDUP(H95*12/G95,0)+1)*I95,"")</f>
      </c>
      <c r="L95" s="15">
        <f>IF(J95&gt;0,J95,IF(K95&gt;0,K95,""))</f>
      </c>
      <c r="M95" s="13"/>
      <c r="N95" s="16">
        <f>IF(AND(L95&gt;0,M95&gt;0),L95*M95,"")</f>
      </c>
      <c r="O95" s="17">
        <f>IFERROR(VLOOKUP(E95,'Bar Weights'!$A$3:$B$13,2,FALSE),"")</f>
      </c>
      <c r="P95" s="18">
        <f>IF(AND(N95&gt;0,O95&gt;0),N95*O95,"")</f>
      </c>
    </row>
    <row r="96" spans="1:16" x14ac:dyDescent="0.25">
      <c r="A96" s="11"/>
      <c r="B96" s="11"/>
      <c r="C96" s="11"/>
      <c r="D96" s="11"/>
      <c r="E96" s="11"/>
      <c r="F96" s="11"/>
      <c r="G96" s="12"/>
      <c r="H96" s="13"/>
      <c r="I96" s="14"/>
      <c r="J96" s="14"/>
      <c r="K96" s="15">
        <f>IF(AND(G96&gt;0,H96&gt;0,I96&gt;0),(ROUNDUP(H96*12/G96,0)+1)*I96,"")</f>
      </c>
      <c r="L96" s="15">
        <f>IF(J96&gt;0,J96,IF(K96&gt;0,K96,""))</f>
      </c>
      <c r="M96" s="13"/>
      <c r="N96" s="16">
        <f>IF(AND(L96&gt;0,M96&gt;0),L96*M96,"")</f>
      </c>
      <c r="O96" s="17">
        <f>IFERROR(VLOOKUP(E96,'Bar Weights'!$A$3:$B$13,2,FALSE),"")</f>
      </c>
      <c r="P96" s="18">
        <f>IF(AND(N96&gt;0,O96&gt;0),N96*O96,"")</f>
      </c>
    </row>
    <row r="97" spans="1:16" x14ac:dyDescent="0.25">
      <c r="A97" s="11"/>
      <c r="B97" s="11"/>
      <c r="C97" s="11"/>
      <c r="D97" s="11"/>
      <c r="E97" s="11"/>
      <c r="F97" s="11"/>
      <c r="G97" s="12"/>
      <c r="H97" s="13"/>
      <c r="I97" s="14"/>
      <c r="J97" s="14"/>
      <c r="K97" s="15">
        <f>IF(AND(G97&gt;0,H97&gt;0,I97&gt;0),(ROUNDUP(H97*12/G97,0)+1)*I97,"")</f>
      </c>
      <c r="L97" s="15">
        <f>IF(J97&gt;0,J97,IF(K97&gt;0,K97,""))</f>
      </c>
      <c r="M97" s="13"/>
      <c r="N97" s="16">
        <f>IF(AND(L97&gt;0,M97&gt;0),L97*M97,"")</f>
      </c>
      <c r="O97" s="17">
        <f>IFERROR(VLOOKUP(E97,'Bar Weights'!$A$3:$B$13,2,FALSE),"")</f>
      </c>
      <c r="P97" s="18">
        <f>IF(AND(N97&gt;0,O97&gt;0),N97*O97,"")</f>
      </c>
    </row>
    <row r="98" spans="1:16" x14ac:dyDescent="0.25">
      <c r="A98" s="11"/>
      <c r="B98" s="11"/>
      <c r="C98" s="11"/>
      <c r="D98" s="11"/>
      <c r="E98" s="11"/>
      <c r="F98" s="11"/>
      <c r="G98" s="12"/>
      <c r="H98" s="13"/>
      <c r="I98" s="14"/>
      <c r="J98" s="14"/>
      <c r="K98" s="15">
        <f>IF(AND(G98&gt;0,H98&gt;0,I98&gt;0),(ROUNDUP(H98*12/G98,0)+1)*I98,"")</f>
      </c>
      <c r="L98" s="15">
        <f>IF(J98&gt;0,J98,IF(K98&gt;0,K98,""))</f>
      </c>
      <c r="M98" s="13"/>
      <c r="N98" s="16">
        <f>IF(AND(L98&gt;0,M98&gt;0),L98*M98,"")</f>
      </c>
      <c r="O98" s="17">
        <f>IFERROR(VLOOKUP(E98,'Bar Weights'!$A$3:$B$13,2,FALSE),"")</f>
      </c>
      <c r="P98" s="18">
        <f>IF(AND(N98&gt;0,O98&gt;0),N98*O98,"")</f>
      </c>
    </row>
    <row r="99" spans="1:16" x14ac:dyDescent="0.25">
      <c r="A99" s="11"/>
      <c r="B99" s="11"/>
      <c r="C99" s="11"/>
      <c r="D99" s="11"/>
      <c r="E99" s="11"/>
      <c r="F99" s="11"/>
      <c r="G99" s="12"/>
      <c r="H99" s="13"/>
      <c r="I99" s="14"/>
      <c r="J99" s="14"/>
      <c r="K99" s="15">
        <f>IF(AND(G99&gt;0,H99&gt;0,I99&gt;0),(ROUNDUP(H99*12/G99,0)+1)*I99,"")</f>
      </c>
      <c r="L99" s="15">
        <f>IF(J99&gt;0,J99,IF(K99&gt;0,K99,""))</f>
      </c>
      <c r="M99" s="13"/>
      <c r="N99" s="16">
        <f>IF(AND(L99&gt;0,M99&gt;0),L99*M99,"")</f>
      </c>
      <c r="O99" s="17">
        <f>IFERROR(VLOOKUP(E99,'Bar Weights'!$A$3:$B$13,2,FALSE),"")</f>
      </c>
      <c r="P99" s="18">
        <f>IF(AND(N99&gt;0,O99&gt;0),N99*O99,"")</f>
      </c>
    </row>
    <row r="100" spans="1:16" x14ac:dyDescent="0.25">
      <c r="A100" s="11"/>
      <c r="B100" s="11"/>
      <c r="C100" s="11"/>
      <c r="D100" s="11"/>
      <c r="E100" s="11"/>
      <c r="F100" s="11"/>
      <c r="G100" s="12"/>
      <c r="H100" s="13"/>
      <c r="I100" s="14"/>
      <c r="J100" s="14"/>
      <c r="K100" s="15">
        <f>IF(AND(G100&gt;0,H100&gt;0,I100&gt;0),(ROUNDUP(H100*12/G100,0)+1)*I100,"")</f>
      </c>
      <c r="L100" s="15">
        <f>IF(J100&gt;0,J100,IF(K100&gt;0,K100,""))</f>
      </c>
      <c r="M100" s="13"/>
      <c r="N100" s="16">
        <f>IF(AND(L100&gt;0,M100&gt;0),L100*M100,"")</f>
      </c>
      <c r="O100" s="17">
        <f>IFERROR(VLOOKUP(E100,'Bar Weights'!$A$3:$B$13,2,FALSE),"")</f>
      </c>
      <c r="P100" s="18">
        <f>IF(AND(N100&gt;0,O100&gt;0),N100*O100,"")</f>
      </c>
    </row>
    <row r="101" spans="1:16" x14ac:dyDescent="0.25">
      <c r="A101" s="11"/>
      <c r="B101" s="11"/>
      <c r="C101" s="11"/>
      <c r="D101" s="11"/>
      <c r="E101" s="11"/>
      <c r="F101" s="11"/>
      <c r="G101" s="12"/>
      <c r="H101" s="13"/>
      <c r="I101" s="14"/>
      <c r="J101" s="14"/>
      <c r="K101" s="15">
        <f>IF(AND(G101&gt;0,H101&gt;0,I101&gt;0),(ROUNDUP(H101*12/G101,0)+1)*I101,"")</f>
      </c>
      <c r="L101" s="15">
        <f>IF(J101&gt;0,J101,IF(K101&gt;0,K101,""))</f>
      </c>
      <c r="M101" s="13"/>
      <c r="N101" s="16">
        <f>IF(AND(L101&gt;0,M101&gt;0),L101*M101,"")</f>
      </c>
      <c r="O101" s="17">
        <f>IFERROR(VLOOKUP(E101,'Bar Weights'!$A$3:$B$13,2,FALSE),"")</f>
      </c>
      <c r="P101" s="18">
        <f>IF(AND(N101&gt;0,O101&gt;0),N101*O101,"")</f>
      </c>
    </row>
    <row r="102" spans="1:16" x14ac:dyDescent="0.25">
      <c r="A102" s="11"/>
      <c r="B102" s="11"/>
      <c r="C102" s="11"/>
      <c r="D102" s="11"/>
      <c r="E102" s="11"/>
      <c r="F102" s="11"/>
      <c r="G102" s="12"/>
      <c r="H102" s="13"/>
      <c r="I102" s="14"/>
      <c r="J102" s="14"/>
      <c r="K102" s="15">
        <f>IF(AND(G102&gt;0,H102&gt;0,I102&gt;0),(ROUNDUP(H102*12/G102,0)+1)*I102,"")</f>
      </c>
      <c r="L102" s="15">
        <f>IF(J102&gt;0,J102,IF(K102&gt;0,K102,""))</f>
      </c>
      <c r="M102" s="13"/>
      <c r="N102" s="16">
        <f>IF(AND(L102&gt;0,M102&gt;0),L102*M102,"")</f>
      </c>
      <c r="O102" s="17">
        <f>IFERROR(VLOOKUP(E102,'Bar Weights'!$A$3:$B$13,2,FALSE),"")</f>
      </c>
      <c r="P102" s="18">
        <f>IF(AND(N102&gt;0,O102&gt;0),N102*O102,"")</f>
      </c>
    </row>
    <row r="103" spans="1:16" x14ac:dyDescent="0.25">
      <c r="A103" s="11"/>
      <c r="B103" s="11"/>
      <c r="C103" s="11"/>
      <c r="D103" s="11"/>
      <c r="E103" s="11"/>
      <c r="F103" s="11"/>
      <c r="G103" s="12"/>
      <c r="H103" s="13"/>
      <c r="I103" s="14"/>
      <c r="J103" s="14"/>
      <c r="K103" s="15">
        <f>IF(AND(G103&gt;0,H103&gt;0,I103&gt;0),(ROUNDUP(H103*12/G103,0)+1)*I103,"")</f>
      </c>
      <c r="L103" s="15">
        <f>IF(J103&gt;0,J103,IF(K103&gt;0,K103,""))</f>
      </c>
      <c r="M103" s="13"/>
      <c r="N103" s="16">
        <f>IF(AND(L103&gt;0,M103&gt;0),L103*M103,"")</f>
      </c>
      <c r="O103" s="17">
        <f>IFERROR(VLOOKUP(E103,'Bar Weights'!$A$3:$B$13,2,FALSE),"")</f>
      </c>
      <c r="P103" s="18">
        <f>IF(AND(N103&gt;0,O103&gt;0),N103*O103,"")</f>
      </c>
    </row>
    <row r="104" spans="1:16" x14ac:dyDescent="0.25">
      <c r="A104" s="11"/>
      <c r="B104" s="11"/>
      <c r="C104" s="11"/>
      <c r="D104" s="11"/>
      <c r="E104" s="11"/>
      <c r="F104" s="11"/>
      <c r="G104" s="12"/>
      <c r="H104" s="13"/>
      <c r="I104" s="14"/>
      <c r="J104" s="14"/>
      <c r="K104" s="15">
        <f>IF(AND(G104&gt;0,H104&gt;0,I104&gt;0),(ROUNDUP(H104*12/G104,0)+1)*I104,"")</f>
      </c>
      <c r="L104" s="15">
        <f>IF(J104&gt;0,J104,IF(K104&gt;0,K104,""))</f>
      </c>
      <c r="M104" s="13"/>
      <c r="N104" s="16">
        <f>IF(AND(L104&gt;0,M104&gt;0),L104*M104,"")</f>
      </c>
      <c r="O104" s="17">
        <f>IFERROR(VLOOKUP(E104,'Bar Weights'!$A$3:$B$13,2,FALSE),"")</f>
      </c>
      <c r="P104" s="18">
        <f>IF(AND(N104&gt;0,O104&gt;0),N104*O104,"")</f>
      </c>
    </row>
    <row r="105" spans="1:16" x14ac:dyDescent="0.25">
      <c r="A105" s="11"/>
      <c r="B105" s="11"/>
      <c r="C105" s="11"/>
      <c r="D105" s="11"/>
      <c r="E105" s="11"/>
      <c r="F105" s="11"/>
      <c r="G105" s="12"/>
      <c r="H105" s="13"/>
      <c r="I105" s="14"/>
      <c r="J105" s="14"/>
      <c r="K105" s="15">
        <f>IF(AND(G105&gt;0,H105&gt;0,I105&gt;0),(ROUNDUP(H105*12/G105,0)+1)*I105,"")</f>
      </c>
      <c r="L105" s="15">
        <f>IF(J105&gt;0,J105,IF(K105&gt;0,K105,""))</f>
      </c>
      <c r="M105" s="13"/>
      <c r="N105" s="16">
        <f>IF(AND(L105&gt;0,M105&gt;0),L105*M105,"")</f>
      </c>
      <c r="O105" s="17">
        <f>IFERROR(VLOOKUP(E105,'Bar Weights'!$A$3:$B$13,2,FALSE),"")</f>
      </c>
      <c r="P105" s="18">
        <f>IF(AND(N105&gt;0,O105&gt;0),N105*O105,"")</f>
      </c>
    </row>
    <row r="106" spans="1:16" x14ac:dyDescent="0.25">
      <c r="A106" s="11"/>
      <c r="B106" s="11"/>
      <c r="C106" s="11"/>
      <c r="D106" s="11"/>
      <c r="E106" s="11"/>
      <c r="F106" s="11"/>
      <c r="G106" s="12"/>
      <c r="H106" s="13"/>
      <c r="I106" s="14"/>
      <c r="J106" s="14"/>
      <c r="K106" s="15">
        <f>IF(AND(G106&gt;0,H106&gt;0,I106&gt;0),(ROUNDUP(H106*12/G106,0)+1)*I106,"")</f>
      </c>
      <c r="L106" s="15">
        <f>IF(J106&gt;0,J106,IF(K106&gt;0,K106,""))</f>
      </c>
      <c r="M106" s="13"/>
      <c r="N106" s="16">
        <f>IF(AND(L106&gt;0,M106&gt;0),L106*M106,"")</f>
      </c>
      <c r="O106" s="17">
        <f>IFERROR(VLOOKUP(E106,'Bar Weights'!$A$3:$B$13,2,FALSE),"")</f>
      </c>
      <c r="P106" s="18">
        <f>IF(AND(N106&gt;0,O106&gt;0),N106*O106,"")</f>
      </c>
    </row>
    <row r="107" spans="1:16" x14ac:dyDescent="0.25">
      <c r="A107" s="11"/>
      <c r="B107" s="11"/>
      <c r="C107" s="11"/>
      <c r="D107" s="11"/>
      <c r="E107" s="11"/>
      <c r="F107" s="11"/>
      <c r="G107" s="12"/>
      <c r="H107" s="13"/>
      <c r="I107" s="14"/>
      <c r="J107" s="14"/>
      <c r="K107" s="15">
        <f>IF(AND(G107&gt;0,H107&gt;0,I107&gt;0),(ROUNDUP(H107*12/G107,0)+1)*I107,"")</f>
      </c>
      <c r="L107" s="15">
        <f>IF(J107&gt;0,J107,IF(K107&gt;0,K107,""))</f>
      </c>
      <c r="M107" s="13"/>
      <c r="N107" s="16">
        <f>IF(AND(L107&gt;0,M107&gt;0),L107*M107,"")</f>
      </c>
      <c r="O107" s="17">
        <f>IFERROR(VLOOKUP(E107,'Bar Weights'!$A$3:$B$13,2,FALSE),"")</f>
      </c>
      <c r="P107" s="18">
        <f>IF(AND(N107&gt;0,O107&gt;0),N107*O107,"")</f>
      </c>
    </row>
    <row r="108" spans="1:16" x14ac:dyDescent="0.25">
      <c r="A108" s="11"/>
      <c r="B108" s="11"/>
      <c r="C108" s="11"/>
      <c r="D108" s="11"/>
      <c r="E108" s="11"/>
      <c r="F108" s="11"/>
      <c r="G108" s="12"/>
      <c r="H108" s="13"/>
      <c r="I108" s="14"/>
      <c r="J108" s="14"/>
      <c r="K108" s="15">
        <f>IF(AND(G108&gt;0,H108&gt;0,I108&gt;0),(ROUNDUP(H108*12/G108,0)+1)*I108,"")</f>
      </c>
      <c r="L108" s="15">
        <f>IF(J108&gt;0,J108,IF(K108&gt;0,K108,""))</f>
      </c>
      <c r="M108" s="13"/>
      <c r="N108" s="16">
        <f>IF(AND(L108&gt;0,M108&gt;0),L108*M108,"")</f>
      </c>
      <c r="O108" s="17">
        <f>IFERROR(VLOOKUP(E108,'Bar Weights'!$A$3:$B$13,2,FALSE),"")</f>
      </c>
      <c r="P108" s="18">
        <f>IF(AND(N108&gt;0,O108&gt;0),N108*O108,"")</f>
      </c>
    </row>
    <row r="109" spans="1:16" x14ac:dyDescent="0.25">
      <c r="A109" s="11"/>
      <c r="B109" s="11"/>
      <c r="C109" s="11"/>
      <c r="D109" s="11"/>
      <c r="E109" s="11"/>
      <c r="F109" s="11"/>
      <c r="G109" s="12"/>
      <c r="H109" s="13"/>
      <c r="I109" s="14"/>
      <c r="J109" s="14"/>
      <c r="K109" s="15">
        <f>IF(AND(G109&gt;0,H109&gt;0,I109&gt;0),(ROUNDUP(H109*12/G109,0)+1)*I109,"")</f>
      </c>
      <c r="L109" s="15">
        <f>IF(J109&gt;0,J109,IF(K109&gt;0,K109,""))</f>
      </c>
      <c r="M109" s="13"/>
      <c r="N109" s="16">
        <f>IF(AND(L109&gt;0,M109&gt;0),L109*M109,"")</f>
      </c>
      <c r="O109" s="17">
        <f>IFERROR(VLOOKUP(E109,'Bar Weights'!$A$3:$B$13,2,FALSE),"")</f>
      </c>
      <c r="P109" s="18">
        <f>IF(AND(N109&gt;0,O109&gt;0),N109*O109,"")</f>
      </c>
    </row>
    <row r="110" spans="1:16" x14ac:dyDescent="0.25">
      <c r="A110" s="11"/>
      <c r="B110" s="11"/>
      <c r="C110" s="11"/>
      <c r="D110" s="11"/>
      <c r="E110" s="11"/>
      <c r="F110" s="11"/>
      <c r="G110" s="12"/>
      <c r="H110" s="13"/>
      <c r="I110" s="14"/>
      <c r="J110" s="14"/>
      <c r="K110" s="15">
        <f>IF(AND(G110&gt;0,H110&gt;0,I110&gt;0),(ROUNDUP(H110*12/G110,0)+1)*I110,"")</f>
      </c>
      <c r="L110" s="15">
        <f>IF(J110&gt;0,J110,IF(K110&gt;0,K110,""))</f>
      </c>
      <c r="M110" s="13"/>
      <c r="N110" s="16">
        <f>IF(AND(L110&gt;0,M110&gt;0),L110*M110,"")</f>
      </c>
      <c r="O110" s="17">
        <f>IFERROR(VLOOKUP(E110,'Bar Weights'!$A$3:$B$13,2,FALSE),"")</f>
      </c>
      <c r="P110" s="18">
        <f>IF(AND(N110&gt;0,O110&gt;0),N110*O110,"")</f>
      </c>
    </row>
    <row r="111" spans="1:16" x14ac:dyDescent="0.25">
      <c r="A111" s="11"/>
      <c r="B111" s="11"/>
      <c r="C111" s="11"/>
      <c r="D111" s="11"/>
      <c r="E111" s="11"/>
      <c r="F111" s="11"/>
      <c r="G111" s="12"/>
      <c r="H111" s="13"/>
      <c r="I111" s="14"/>
      <c r="J111" s="14"/>
      <c r="K111" s="15">
        <f>IF(AND(G111&gt;0,H111&gt;0,I111&gt;0),(ROUNDUP(H111*12/G111,0)+1)*I111,"")</f>
      </c>
      <c r="L111" s="15">
        <f>IF(J111&gt;0,J111,IF(K111&gt;0,K111,""))</f>
      </c>
      <c r="M111" s="13"/>
      <c r="N111" s="16">
        <f>IF(AND(L111&gt;0,M111&gt;0),L111*M111,"")</f>
      </c>
      <c r="O111" s="17">
        <f>IFERROR(VLOOKUP(E111,'Bar Weights'!$A$3:$B$13,2,FALSE),"")</f>
      </c>
      <c r="P111" s="18">
        <f>IF(AND(N111&gt;0,O111&gt;0),N111*O111,"")</f>
      </c>
    </row>
    <row r="112" spans="1:16" x14ac:dyDescent="0.25">
      <c r="A112" s="11"/>
      <c r="B112" s="11"/>
      <c r="C112" s="11"/>
      <c r="D112" s="11"/>
      <c r="E112" s="11"/>
      <c r="F112" s="11"/>
      <c r="G112" s="12"/>
      <c r="H112" s="13"/>
      <c r="I112" s="14"/>
      <c r="J112" s="14"/>
      <c r="K112" s="15">
        <f>IF(AND(G112&gt;0,H112&gt;0,I112&gt;0),(ROUNDUP(H112*12/G112,0)+1)*I112,"")</f>
      </c>
      <c r="L112" s="15">
        <f>IF(J112&gt;0,J112,IF(K112&gt;0,K112,""))</f>
      </c>
      <c r="M112" s="13"/>
      <c r="N112" s="16">
        <f>IF(AND(L112&gt;0,M112&gt;0),L112*M112,"")</f>
      </c>
      <c r="O112" s="17">
        <f>IFERROR(VLOOKUP(E112,'Bar Weights'!$A$3:$B$13,2,FALSE),"")</f>
      </c>
      <c r="P112" s="18">
        <f>IF(AND(N112&gt;0,O112&gt;0),N112*O112,"")</f>
      </c>
    </row>
    <row r="113" spans="1:16" x14ac:dyDescent="0.25">
      <c r="A113" s="11"/>
      <c r="B113" s="11"/>
      <c r="C113" s="11"/>
      <c r="D113" s="11"/>
      <c r="E113" s="11"/>
      <c r="F113" s="11"/>
      <c r="G113" s="12"/>
      <c r="H113" s="13"/>
      <c r="I113" s="14"/>
      <c r="J113" s="14"/>
      <c r="K113" s="15">
        <f>IF(AND(G113&gt;0,H113&gt;0,I113&gt;0),(ROUNDUP(H113*12/G113,0)+1)*I113,"")</f>
      </c>
      <c r="L113" s="15">
        <f>IF(J113&gt;0,J113,IF(K113&gt;0,K113,""))</f>
      </c>
      <c r="M113" s="13"/>
      <c r="N113" s="16">
        <f>IF(AND(L113&gt;0,M113&gt;0),L113*M113,"")</f>
      </c>
      <c r="O113" s="17">
        <f>IFERROR(VLOOKUP(E113,'Bar Weights'!$A$3:$B$13,2,FALSE),"")</f>
      </c>
      <c r="P113" s="18">
        <f>IF(AND(N113&gt;0,O113&gt;0),N113*O113,"")</f>
      </c>
    </row>
    <row r="114" spans="1:16" x14ac:dyDescent="0.25">
      <c r="A114" s="11"/>
      <c r="B114" s="11"/>
      <c r="C114" s="11"/>
      <c r="D114" s="11"/>
      <c r="E114" s="11"/>
      <c r="F114" s="11"/>
      <c r="G114" s="12"/>
      <c r="H114" s="13"/>
      <c r="I114" s="14"/>
      <c r="J114" s="14"/>
      <c r="K114" s="15">
        <f>IF(AND(G114&gt;0,H114&gt;0,I114&gt;0),(ROUNDUP(H114*12/G114,0)+1)*I114,"")</f>
      </c>
      <c r="L114" s="15">
        <f>IF(J114&gt;0,J114,IF(K114&gt;0,K114,""))</f>
      </c>
      <c r="M114" s="13"/>
      <c r="N114" s="16">
        <f>IF(AND(L114&gt;0,M114&gt;0),L114*M114,"")</f>
      </c>
      <c r="O114" s="17">
        <f>IFERROR(VLOOKUP(E114,'Bar Weights'!$A$3:$B$13,2,FALSE),"")</f>
      </c>
      <c r="P114" s="18">
        <f>IF(AND(N114&gt;0,O114&gt;0),N114*O114,"")</f>
      </c>
    </row>
    <row r="115" spans="1:16" x14ac:dyDescent="0.25">
      <c r="A115" s="11"/>
      <c r="B115" s="11"/>
      <c r="C115" s="11"/>
      <c r="D115" s="11"/>
      <c r="E115" s="11"/>
      <c r="F115" s="11"/>
      <c r="G115" s="12"/>
      <c r="H115" s="13"/>
      <c r="I115" s="14"/>
      <c r="J115" s="14"/>
      <c r="K115" s="15">
        <f>IF(AND(G115&gt;0,H115&gt;0,I115&gt;0),(ROUNDUP(H115*12/G115,0)+1)*I115,"")</f>
      </c>
      <c r="L115" s="15">
        <f>IF(J115&gt;0,J115,IF(K115&gt;0,K115,""))</f>
      </c>
      <c r="M115" s="13"/>
      <c r="N115" s="16">
        <f>IF(AND(L115&gt;0,M115&gt;0),L115*M115,"")</f>
      </c>
      <c r="O115" s="17">
        <f>IFERROR(VLOOKUP(E115,'Bar Weights'!$A$3:$B$13,2,FALSE),"")</f>
      </c>
      <c r="P115" s="18">
        <f>IF(AND(N115&gt;0,O115&gt;0),N115*O115,"")</f>
      </c>
    </row>
    <row r="116" spans="1:16" x14ac:dyDescent="0.25">
      <c r="A116" s="11"/>
      <c r="B116" s="11"/>
      <c r="C116" s="11"/>
      <c r="D116" s="11"/>
      <c r="E116" s="11"/>
      <c r="F116" s="11"/>
      <c r="G116" s="12"/>
      <c r="H116" s="13"/>
      <c r="I116" s="14"/>
      <c r="J116" s="14"/>
      <c r="K116" s="15">
        <f>IF(AND(G116&gt;0,H116&gt;0,I116&gt;0),(ROUNDUP(H116*12/G116,0)+1)*I116,"")</f>
      </c>
      <c r="L116" s="15">
        <f>IF(J116&gt;0,J116,IF(K116&gt;0,K116,""))</f>
      </c>
      <c r="M116" s="13"/>
      <c r="N116" s="16">
        <f>IF(AND(L116&gt;0,M116&gt;0),L116*M116,"")</f>
      </c>
      <c r="O116" s="17">
        <f>IFERROR(VLOOKUP(E116,'Bar Weights'!$A$3:$B$13,2,FALSE),"")</f>
      </c>
      <c r="P116" s="18">
        <f>IF(AND(N116&gt;0,O116&gt;0),N116*O116,"")</f>
      </c>
    </row>
    <row r="117" spans="1:16" x14ac:dyDescent="0.25">
      <c r="A117" s="11"/>
      <c r="B117" s="11"/>
      <c r="C117" s="11"/>
      <c r="D117" s="11"/>
      <c r="E117" s="11"/>
      <c r="F117" s="11"/>
      <c r="G117" s="12"/>
      <c r="H117" s="13"/>
      <c r="I117" s="14"/>
      <c r="J117" s="14"/>
      <c r="K117" s="15">
        <f>IF(AND(G117&gt;0,H117&gt;0,I117&gt;0),(ROUNDUP(H117*12/G117,0)+1)*I117,"")</f>
      </c>
      <c r="L117" s="15">
        <f>IF(J117&gt;0,J117,IF(K117&gt;0,K117,""))</f>
      </c>
      <c r="M117" s="13"/>
      <c r="N117" s="16">
        <f>IF(AND(L117&gt;0,M117&gt;0),L117*M117,"")</f>
      </c>
      <c r="O117" s="17">
        <f>IFERROR(VLOOKUP(E117,'Bar Weights'!$A$3:$B$13,2,FALSE),"")</f>
      </c>
      <c r="P117" s="18">
        <f>IF(AND(N117&gt;0,O117&gt;0),N117*O117,"")</f>
      </c>
    </row>
    <row r="118" spans="1:16" x14ac:dyDescent="0.25">
      <c r="A118" s="11"/>
      <c r="B118" s="11"/>
      <c r="C118" s="11"/>
      <c r="D118" s="11"/>
      <c r="E118" s="11"/>
      <c r="F118" s="11"/>
      <c r="G118" s="12"/>
      <c r="H118" s="13"/>
      <c r="I118" s="14"/>
      <c r="J118" s="14"/>
      <c r="K118" s="15">
        <f>IF(AND(G118&gt;0,H118&gt;0,I118&gt;0),(ROUNDUP(H118*12/G118,0)+1)*I118,"")</f>
      </c>
      <c r="L118" s="15">
        <f>IF(J118&gt;0,J118,IF(K118&gt;0,K118,""))</f>
      </c>
      <c r="M118" s="13"/>
      <c r="N118" s="16">
        <f>IF(AND(L118&gt;0,M118&gt;0),L118*M118,"")</f>
      </c>
      <c r="O118" s="17">
        <f>IFERROR(VLOOKUP(E118,'Bar Weights'!$A$3:$B$13,2,FALSE),"")</f>
      </c>
      <c r="P118" s="18">
        <f>IF(AND(N118&gt;0,O118&gt;0),N118*O118,"")</f>
      </c>
    </row>
    <row r="119" spans="1:16" x14ac:dyDescent="0.25">
      <c r="A119" s="11"/>
      <c r="B119" s="11"/>
      <c r="C119" s="11"/>
      <c r="D119" s="11"/>
      <c r="E119" s="11"/>
      <c r="F119" s="11"/>
      <c r="G119" s="12"/>
      <c r="H119" s="13"/>
      <c r="I119" s="14"/>
      <c r="J119" s="14"/>
      <c r="K119" s="15">
        <f>IF(AND(G119&gt;0,H119&gt;0,I119&gt;0),(ROUNDUP(H119*12/G119,0)+1)*I119,"")</f>
      </c>
      <c r="L119" s="15">
        <f>IF(J119&gt;0,J119,IF(K119&gt;0,K119,""))</f>
      </c>
      <c r="M119" s="13"/>
      <c r="N119" s="16">
        <f>IF(AND(L119&gt;0,M119&gt;0),L119*M119,"")</f>
      </c>
      <c r="O119" s="17">
        <f>IFERROR(VLOOKUP(E119,'Bar Weights'!$A$3:$B$13,2,FALSE),"")</f>
      </c>
      <c r="P119" s="18">
        <f>IF(AND(N119&gt;0,O119&gt;0),N119*O119,"")</f>
      </c>
    </row>
    <row r="120" spans="1:16" x14ac:dyDescent="0.25">
      <c r="A120" s="11"/>
      <c r="B120" s="11"/>
      <c r="C120" s="11"/>
      <c r="D120" s="11"/>
      <c r="E120" s="11"/>
      <c r="F120" s="11"/>
      <c r="G120" s="12"/>
      <c r="H120" s="13"/>
      <c r="I120" s="14"/>
      <c r="J120" s="14"/>
      <c r="K120" s="15">
        <f>IF(AND(G120&gt;0,H120&gt;0,I120&gt;0),(ROUNDUP(H120*12/G120,0)+1)*I120,"")</f>
      </c>
      <c r="L120" s="15">
        <f>IF(J120&gt;0,J120,IF(K120&gt;0,K120,""))</f>
      </c>
      <c r="M120" s="13"/>
      <c r="N120" s="16">
        <f>IF(AND(L120&gt;0,M120&gt;0),L120*M120,"")</f>
      </c>
      <c r="O120" s="17">
        <f>IFERROR(VLOOKUP(E120,'Bar Weights'!$A$3:$B$13,2,FALSE),"")</f>
      </c>
      <c r="P120" s="18">
        <f>IF(AND(N120&gt;0,O120&gt;0),N120*O120,"")</f>
      </c>
    </row>
    <row r="121" spans="1:16" x14ac:dyDescent="0.25">
      <c r="A121" s="11"/>
      <c r="B121" s="11"/>
      <c r="C121" s="11"/>
      <c r="D121" s="11"/>
      <c r="E121" s="11"/>
      <c r="F121" s="11"/>
      <c r="G121" s="12"/>
      <c r="H121" s="13"/>
      <c r="I121" s="14"/>
      <c r="J121" s="14"/>
      <c r="K121" s="15">
        <f>IF(AND(G121&gt;0,H121&gt;0,I121&gt;0),(ROUNDUP(H121*12/G121,0)+1)*I121,"")</f>
      </c>
      <c r="L121" s="15">
        <f>IF(J121&gt;0,J121,IF(K121&gt;0,K121,""))</f>
      </c>
      <c r="M121" s="13"/>
      <c r="N121" s="16">
        <f>IF(AND(L121&gt;0,M121&gt;0),L121*M121,"")</f>
      </c>
      <c r="O121" s="17">
        <f>IFERROR(VLOOKUP(E121,'Bar Weights'!$A$3:$B$13,2,FALSE),"")</f>
      </c>
      <c r="P121" s="18">
        <f>IF(AND(N121&gt;0,O121&gt;0),N121*O121,"")</f>
      </c>
    </row>
    <row r="122" spans="1:16" x14ac:dyDescent="0.25">
      <c r="A122" s="11"/>
      <c r="B122" s="11"/>
      <c r="C122" s="11"/>
      <c r="D122" s="11"/>
      <c r="E122" s="11"/>
      <c r="F122" s="11"/>
      <c r="G122" s="12"/>
      <c r="H122" s="13"/>
      <c r="I122" s="14"/>
      <c r="J122" s="14"/>
      <c r="K122" s="15">
        <f>IF(AND(G122&gt;0,H122&gt;0,I122&gt;0),(ROUNDUP(H122*12/G122,0)+1)*I122,"")</f>
      </c>
      <c r="L122" s="15">
        <f>IF(J122&gt;0,J122,IF(K122&gt;0,K122,""))</f>
      </c>
      <c r="M122" s="13"/>
      <c r="N122" s="16">
        <f>IF(AND(L122&gt;0,M122&gt;0),L122*M122,"")</f>
      </c>
      <c r="O122" s="17">
        <f>IFERROR(VLOOKUP(E122,'Bar Weights'!$A$3:$B$13,2,FALSE),"")</f>
      </c>
      <c r="P122" s="18">
        <f>IF(AND(N122&gt;0,O122&gt;0),N122*O122,"")</f>
      </c>
    </row>
    <row r="123" spans="1:16" x14ac:dyDescent="0.25">
      <c r="A123" s="11"/>
      <c r="B123" s="11"/>
      <c r="C123" s="11"/>
      <c r="D123" s="11"/>
      <c r="E123" s="11"/>
      <c r="F123" s="11"/>
      <c r="G123" s="12"/>
      <c r="H123" s="13"/>
      <c r="I123" s="14"/>
      <c r="J123" s="14"/>
      <c r="K123" s="15">
        <f>IF(AND(G123&gt;0,H123&gt;0,I123&gt;0),(ROUNDUP(H123*12/G123,0)+1)*I123,"")</f>
      </c>
      <c r="L123" s="15">
        <f>IF(J123&gt;0,J123,IF(K123&gt;0,K123,""))</f>
      </c>
      <c r="M123" s="13"/>
      <c r="N123" s="16">
        <f>IF(AND(L123&gt;0,M123&gt;0),L123*M123,"")</f>
      </c>
      <c r="O123" s="17">
        <f>IFERROR(VLOOKUP(E123,'Bar Weights'!$A$3:$B$13,2,FALSE),"")</f>
      </c>
      <c r="P123" s="18">
        <f>IF(AND(N123&gt;0,O123&gt;0),N123*O123,"")</f>
      </c>
    </row>
    <row r="124" spans="1:16" x14ac:dyDescent="0.25">
      <c r="A124" s="11"/>
      <c r="B124" s="11"/>
      <c r="C124" s="11"/>
      <c r="D124" s="11"/>
      <c r="E124" s="11"/>
      <c r="F124" s="11"/>
      <c r="G124" s="12"/>
      <c r="H124" s="13"/>
      <c r="I124" s="14"/>
      <c r="J124" s="14"/>
      <c r="K124" s="15">
        <f>IF(AND(G124&gt;0,H124&gt;0,I124&gt;0),(ROUNDUP(H124*12/G124,0)+1)*I124,"")</f>
      </c>
      <c r="L124" s="15">
        <f>IF(J124&gt;0,J124,IF(K124&gt;0,K124,""))</f>
      </c>
      <c r="M124" s="13"/>
      <c r="N124" s="16">
        <f>IF(AND(L124&gt;0,M124&gt;0),L124*M124,"")</f>
      </c>
      <c r="O124" s="17">
        <f>IFERROR(VLOOKUP(E124,'Bar Weights'!$A$3:$B$13,2,FALSE),"")</f>
      </c>
      <c r="P124" s="18">
        <f>IF(AND(N124&gt;0,O124&gt;0),N124*O124,"")</f>
      </c>
    </row>
    <row r="125" spans="1:16" x14ac:dyDescent="0.25">
      <c r="A125" s="11"/>
      <c r="B125" s="11"/>
      <c r="C125" s="11"/>
      <c r="D125" s="11"/>
      <c r="E125" s="11"/>
      <c r="F125" s="11"/>
      <c r="G125" s="12"/>
      <c r="H125" s="13"/>
      <c r="I125" s="14"/>
      <c r="J125" s="14"/>
      <c r="K125" s="15">
        <f>IF(AND(G125&gt;0,H125&gt;0,I125&gt;0),(ROUNDUP(H125*12/G125,0)+1)*I125,"")</f>
      </c>
      <c r="L125" s="15">
        <f>IF(J125&gt;0,J125,IF(K125&gt;0,K125,""))</f>
      </c>
      <c r="M125" s="13"/>
      <c r="N125" s="16">
        <f>IF(AND(L125&gt;0,M125&gt;0),L125*M125,"")</f>
      </c>
      <c r="O125" s="17">
        <f>IFERROR(VLOOKUP(E125,'Bar Weights'!$A$3:$B$13,2,FALSE),"")</f>
      </c>
      <c r="P125" s="18">
        <f>IF(AND(N125&gt;0,O125&gt;0),N125*O125,"")</f>
      </c>
    </row>
    <row r="126" spans="1:16" x14ac:dyDescent="0.25">
      <c r="A126" s="11"/>
      <c r="B126" s="11"/>
      <c r="C126" s="11"/>
      <c r="D126" s="11"/>
      <c r="E126" s="11"/>
      <c r="F126" s="11"/>
      <c r="G126" s="12"/>
      <c r="H126" s="13"/>
      <c r="I126" s="14"/>
      <c r="J126" s="14"/>
      <c r="K126" s="15">
        <f>IF(AND(G126&gt;0,H126&gt;0,I126&gt;0),(ROUNDUP(H126*12/G126,0)+1)*I126,"")</f>
      </c>
      <c r="L126" s="15">
        <f>IF(J126&gt;0,J126,IF(K126&gt;0,K126,""))</f>
      </c>
      <c r="M126" s="13"/>
      <c r="N126" s="16">
        <f>IF(AND(L126&gt;0,M126&gt;0),L126*M126,"")</f>
      </c>
      <c r="O126" s="17">
        <f>IFERROR(VLOOKUP(E126,'Bar Weights'!$A$3:$B$13,2,FALSE),"")</f>
      </c>
      <c r="P126" s="18">
        <f>IF(AND(N126&gt;0,O126&gt;0),N126*O126,"")</f>
      </c>
    </row>
    <row r="127" spans="1:16" x14ac:dyDescent="0.25">
      <c r="A127" s="11"/>
      <c r="B127" s="11"/>
      <c r="C127" s="11"/>
      <c r="D127" s="11"/>
      <c r="E127" s="11"/>
      <c r="F127" s="11"/>
      <c r="G127" s="12"/>
      <c r="H127" s="13"/>
      <c r="I127" s="14"/>
      <c r="J127" s="14"/>
      <c r="K127" s="15">
        <f>IF(AND(G127&gt;0,H127&gt;0,I127&gt;0),(ROUNDUP(H127*12/G127,0)+1)*I127,"")</f>
      </c>
      <c r="L127" s="15">
        <f>IF(J127&gt;0,J127,IF(K127&gt;0,K127,""))</f>
      </c>
      <c r="M127" s="13"/>
      <c r="N127" s="16">
        <f>IF(AND(L127&gt;0,M127&gt;0),L127*M127,"")</f>
      </c>
      <c r="O127" s="17">
        <f>IFERROR(VLOOKUP(E127,'Bar Weights'!$A$3:$B$13,2,FALSE),"")</f>
      </c>
      <c r="P127" s="18">
        <f>IF(AND(N127&gt;0,O127&gt;0),N127*O127,"")</f>
      </c>
    </row>
    <row r="128" spans="1:16" x14ac:dyDescent="0.25">
      <c r="A128" s="11"/>
      <c r="B128" s="11"/>
      <c r="C128" s="11"/>
      <c r="D128" s="11"/>
      <c r="E128" s="11"/>
      <c r="F128" s="11"/>
      <c r="G128" s="12"/>
      <c r="H128" s="13"/>
      <c r="I128" s="14"/>
      <c r="J128" s="14"/>
      <c r="K128" s="15">
        <f>IF(AND(G128&gt;0,H128&gt;0,I128&gt;0),(ROUNDUP(H128*12/G128,0)+1)*I128,"")</f>
      </c>
      <c r="L128" s="15">
        <f>IF(J128&gt;0,J128,IF(K128&gt;0,K128,""))</f>
      </c>
      <c r="M128" s="13"/>
      <c r="N128" s="16">
        <f>IF(AND(L128&gt;0,M128&gt;0),L128*M128,"")</f>
      </c>
      <c r="O128" s="17">
        <f>IFERROR(VLOOKUP(E128,'Bar Weights'!$A$3:$B$13,2,FALSE),"")</f>
      </c>
      <c r="P128" s="18">
        <f>IF(AND(N128&gt;0,O128&gt;0),N128*O128,"")</f>
      </c>
    </row>
    <row r="129" spans="1:16" x14ac:dyDescent="0.25">
      <c r="A129" s="11"/>
      <c r="B129" s="11"/>
      <c r="C129" s="11"/>
      <c r="D129" s="11"/>
      <c r="E129" s="11"/>
      <c r="F129" s="11"/>
      <c r="G129" s="12"/>
      <c r="H129" s="13"/>
      <c r="I129" s="14"/>
      <c r="J129" s="14"/>
      <c r="K129" s="15">
        <f>IF(AND(G129&gt;0,H129&gt;0,I129&gt;0),(ROUNDUP(H129*12/G129,0)+1)*I129,"")</f>
      </c>
      <c r="L129" s="15">
        <f>IF(J129&gt;0,J129,IF(K129&gt;0,K129,""))</f>
      </c>
      <c r="M129" s="13"/>
      <c r="N129" s="16">
        <f>IF(AND(L129&gt;0,M129&gt;0),L129*M129,"")</f>
      </c>
      <c r="O129" s="17">
        <f>IFERROR(VLOOKUP(E129,'Bar Weights'!$A$3:$B$13,2,FALSE),"")</f>
      </c>
      <c r="P129" s="18">
        <f>IF(AND(N129&gt;0,O129&gt;0),N129*O129,"")</f>
      </c>
    </row>
    <row r="130" spans="1:16" x14ac:dyDescent="0.25">
      <c r="A130" s="11"/>
      <c r="B130" s="11"/>
      <c r="C130" s="11"/>
      <c r="D130" s="11"/>
      <c r="E130" s="11"/>
      <c r="F130" s="11"/>
      <c r="G130" s="12"/>
      <c r="H130" s="13"/>
      <c r="I130" s="14"/>
      <c r="J130" s="14"/>
      <c r="K130" s="15">
        <f>IF(AND(G130&gt;0,H130&gt;0,I130&gt;0),(ROUNDUP(H130*12/G130,0)+1)*I130,"")</f>
      </c>
      <c r="L130" s="15">
        <f>IF(J130&gt;0,J130,IF(K130&gt;0,K130,""))</f>
      </c>
      <c r="M130" s="13"/>
      <c r="N130" s="16">
        <f>IF(AND(L130&gt;0,M130&gt;0),L130*M130,"")</f>
      </c>
      <c r="O130" s="17">
        <f>IFERROR(VLOOKUP(E130,'Bar Weights'!$A$3:$B$13,2,FALSE),"")</f>
      </c>
      <c r="P130" s="18">
        <f>IF(AND(N130&gt;0,O130&gt;0),N130*O130,"")</f>
      </c>
    </row>
    <row r="131" spans="1:16" x14ac:dyDescent="0.25">
      <c r="A131" s="11"/>
      <c r="B131" s="11"/>
      <c r="C131" s="11"/>
      <c r="D131" s="11"/>
      <c r="E131" s="11"/>
      <c r="F131" s="11"/>
      <c r="G131" s="12"/>
      <c r="H131" s="13"/>
      <c r="I131" s="14"/>
      <c r="J131" s="14"/>
      <c r="K131" s="15">
        <f>IF(AND(G131&gt;0,H131&gt;0,I131&gt;0),(ROUNDUP(H131*12/G131,0)+1)*I131,"")</f>
      </c>
      <c r="L131" s="15">
        <f>IF(J131&gt;0,J131,IF(K131&gt;0,K131,""))</f>
      </c>
      <c r="M131" s="13"/>
      <c r="N131" s="16">
        <f>IF(AND(L131&gt;0,M131&gt;0),L131*M131,"")</f>
      </c>
      <c r="O131" s="17">
        <f>IFERROR(VLOOKUP(E131,'Bar Weights'!$A$3:$B$13,2,FALSE),"")</f>
      </c>
      <c r="P131" s="18">
        <f>IF(AND(N131&gt;0,O131&gt;0),N131*O131,"")</f>
      </c>
    </row>
    <row r="132" spans="1:16" x14ac:dyDescent="0.25">
      <c r="A132" s="11"/>
      <c r="B132" s="11"/>
      <c r="C132" s="11"/>
      <c r="D132" s="11"/>
      <c r="E132" s="11"/>
      <c r="F132" s="11"/>
      <c r="G132" s="12"/>
      <c r="H132" s="13"/>
      <c r="I132" s="14"/>
      <c r="J132" s="14"/>
      <c r="K132" s="15">
        <f>IF(AND(G132&gt;0,H132&gt;0,I132&gt;0),(ROUNDUP(H132*12/G132,0)+1)*I132,"")</f>
      </c>
      <c r="L132" s="15">
        <f>IF(J132&gt;0,J132,IF(K132&gt;0,K132,""))</f>
      </c>
      <c r="M132" s="13"/>
      <c r="N132" s="16">
        <f>IF(AND(L132&gt;0,M132&gt;0),L132*M132,"")</f>
      </c>
      <c r="O132" s="17">
        <f>IFERROR(VLOOKUP(E132,'Bar Weights'!$A$3:$B$13,2,FALSE),"")</f>
      </c>
      <c r="P132" s="18">
        <f>IF(AND(N132&gt;0,O132&gt;0),N132*O132,"")</f>
      </c>
    </row>
    <row r="133" spans="1:16" x14ac:dyDescent="0.25">
      <c r="A133" s="11"/>
      <c r="B133" s="11"/>
      <c r="C133" s="11"/>
      <c r="D133" s="11"/>
      <c r="E133" s="11"/>
      <c r="F133" s="11"/>
      <c r="G133" s="12"/>
      <c r="H133" s="13"/>
      <c r="I133" s="14"/>
      <c r="J133" s="14"/>
      <c r="K133" s="15">
        <f>IF(AND(G133&gt;0,H133&gt;0,I133&gt;0),(ROUNDUP(H133*12/G133,0)+1)*I133,"")</f>
      </c>
      <c r="L133" s="15">
        <f>IF(J133&gt;0,J133,IF(K133&gt;0,K133,""))</f>
      </c>
      <c r="M133" s="13"/>
      <c r="N133" s="16">
        <f>IF(AND(L133&gt;0,M133&gt;0),L133*M133,"")</f>
      </c>
      <c r="O133" s="17">
        <f>IFERROR(VLOOKUP(E133,'Bar Weights'!$A$3:$B$13,2,FALSE),"")</f>
      </c>
      <c r="P133" s="18">
        <f>IF(AND(N133&gt;0,O133&gt;0),N133*O133,"")</f>
      </c>
    </row>
    <row r="134" spans="1:16" x14ac:dyDescent="0.25">
      <c r="A134" s="11"/>
      <c r="B134" s="11"/>
      <c r="C134" s="11"/>
      <c r="D134" s="11"/>
      <c r="E134" s="11"/>
      <c r="F134" s="11"/>
      <c r="G134" s="12"/>
      <c r="H134" s="13"/>
      <c r="I134" s="14"/>
      <c r="J134" s="14"/>
      <c r="K134" s="15">
        <f>IF(AND(G134&gt;0,H134&gt;0,I134&gt;0),(ROUNDUP(H134*12/G134,0)+1)*I134,"")</f>
      </c>
      <c r="L134" s="15">
        <f>IF(J134&gt;0,J134,IF(K134&gt;0,K134,""))</f>
      </c>
      <c r="M134" s="13"/>
      <c r="N134" s="16">
        <f>IF(AND(L134&gt;0,M134&gt;0),L134*M134,"")</f>
      </c>
      <c r="O134" s="17">
        <f>IFERROR(VLOOKUP(E134,'Bar Weights'!$A$3:$B$13,2,FALSE),"")</f>
      </c>
      <c r="P134" s="18">
        <f>IF(AND(N134&gt;0,O134&gt;0),N134*O134,"")</f>
      </c>
    </row>
    <row r="135" spans="1:16" x14ac:dyDescent="0.25">
      <c r="A135" s="11"/>
      <c r="B135" s="11"/>
      <c r="C135" s="11"/>
      <c r="D135" s="11"/>
      <c r="E135" s="11"/>
      <c r="F135" s="11"/>
      <c r="G135" s="12"/>
      <c r="H135" s="13"/>
      <c r="I135" s="14"/>
      <c r="J135" s="14"/>
      <c r="K135" s="15">
        <f>IF(AND(G135&gt;0,H135&gt;0,I135&gt;0),(ROUNDUP(H135*12/G135,0)+1)*I135,"")</f>
      </c>
      <c r="L135" s="15">
        <f>IF(J135&gt;0,J135,IF(K135&gt;0,K135,""))</f>
      </c>
      <c r="M135" s="13"/>
      <c r="N135" s="16">
        <f>IF(AND(L135&gt;0,M135&gt;0),L135*M135,"")</f>
      </c>
      <c r="O135" s="17">
        <f>IFERROR(VLOOKUP(E135,'Bar Weights'!$A$3:$B$13,2,FALSE),"")</f>
      </c>
      <c r="P135" s="18">
        <f>IF(AND(N135&gt;0,O135&gt;0),N135*O135,"")</f>
      </c>
    </row>
    <row r="136" spans="1:16" x14ac:dyDescent="0.25">
      <c r="A136" s="11"/>
      <c r="B136" s="11"/>
      <c r="C136" s="11"/>
      <c r="D136" s="11"/>
      <c r="E136" s="11"/>
      <c r="F136" s="11"/>
      <c r="G136" s="12"/>
      <c r="H136" s="13"/>
      <c r="I136" s="14"/>
      <c r="J136" s="14"/>
      <c r="K136" s="15">
        <f>IF(AND(G136&gt;0,H136&gt;0,I136&gt;0),(ROUNDUP(H136*12/G136,0)+1)*I136,"")</f>
      </c>
      <c r="L136" s="15">
        <f>IF(J136&gt;0,J136,IF(K136&gt;0,K136,""))</f>
      </c>
      <c r="M136" s="13"/>
      <c r="N136" s="16">
        <f>IF(AND(L136&gt;0,M136&gt;0),L136*M136,"")</f>
      </c>
      <c r="O136" s="17">
        <f>IFERROR(VLOOKUP(E136,'Bar Weights'!$A$3:$B$13,2,FALSE),"")</f>
      </c>
      <c r="P136" s="18">
        <f>IF(AND(N136&gt;0,O136&gt;0),N136*O136,"")</f>
      </c>
    </row>
    <row r="137" spans="1:16" x14ac:dyDescent="0.25">
      <c r="A137" s="11"/>
      <c r="B137" s="11"/>
      <c r="C137" s="11"/>
      <c r="D137" s="11"/>
      <c r="E137" s="11"/>
      <c r="F137" s="11"/>
      <c r="G137" s="12"/>
      <c r="H137" s="13"/>
      <c r="I137" s="14"/>
      <c r="J137" s="14"/>
      <c r="K137" s="15">
        <f>IF(AND(G137&gt;0,H137&gt;0,I137&gt;0),(ROUNDUP(H137*12/G137,0)+1)*I137,"")</f>
      </c>
      <c r="L137" s="15">
        <f>IF(J137&gt;0,J137,IF(K137&gt;0,K137,""))</f>
      </c>
      <c r="M137" s="13"/>
      <c r="N137" s="16">
        <f>IF(AND(L137&gt;0,M137&gt;0),L137*M137,"")</f>
      </c>
      <c r="O137" s="17">
        <f>IFERROR(VLOOKUP(E137,'Bar Weights'!$A$3:$B$13,2,FALSE),"")</f>
      </c>
      <c r="P137" s="18">
        <f>IF(AND(N137&gt;0,O137&gt;0),N137*O137,"")</f>
      </c>
    </row>
    <row r="138" spans="1:16" x14ac:dyDescent="0.25">
      <c r="A138" s="11"/>
      <c r="B138" s="11"/>
      <c r="C138" s="11"/>
      <c r="D138" s="11"/>
      <c r="E138" s="11"/>
      <c r="F138" s="11"/>
      <c r="G138" s="12"/>
      <c r="H138" s="13"/>
      <c r="I138" s="14"/>
      <c r="J138" s="14"/>
      <c r="K138" s="15">
        <f>IF(AND(G138&gt;0,H138&gt;0,I138&gt;0),(ROUNDUP(H138*12/G138,0)+1)*I138,"")</f>
      </c>
      <c r="L138" s="15">
        <f>IF(J138&gt;0,J138,IF(K138&gt;0,K138,""))</f>
      </c>
      <c r="M138" s="13"/>
      <c r="N138" s="16">
        <f>IF(AND(L138&gt;0,M138&gt;0),L138*M138,"")</f>
      </c>
      <c r="O138" s="17">
        <f>IFERROR(VLOOKUP(E138,'Bar Weights'!$A$3:$B$13,2,FALSE),"")</f>
      </c>
      <c r="P138" s="18">
        <f>IF(AND(N138&gt;0,O138&gt;0),N138*O138,"")</f>
      </c>
    </row>
    <row r="139" spans="1:16" x14ac:dyDescent="0.25">
      <c r="A139" s="11"/>
      <c r="B139" s="11"/>
      <c r="C139" s="11"/>
      <c r="D139" s="11"/>
      <c r="E139" s="11"/>
      <c r="F139" s="11"/>
      <c r="G139" s="12"/>
      <c r="H139" s="13"/>
      <c r="I139" s="14"/>
      <c r="J139" s="14"/>
      <c r="K139" s="15">
        <f>IF(AND(G139&gt;0,H139&gt;0,I139&gt;0),(ROUNDUP(H139*12/G139,0)+1)*I139,"")</f>
      </c>
      <c r="L139" s="15">
        <f>IF(J139&gt;0,J139,IF(K139&gt;0,K139,""))</f>
      </c>
      <c r="M139" s="13"/>
      <c r="N139" s="16">
        <f>IF(AND(L139&gt;0,M139&gt;0),L139*M139,"")</f>
      </c>
      <c r="O139" s="17">
        <f>IFERROR(VLOOKUP(E139,'Bar Weights'!$A$3:$B$13,2,FALSE),"")</f>
      </c>
      <c r="P139" s="18">
        <f>IF(AND(N139&gt;0,O139&gt;0),N139*O139,"")</f>
      </c>
    </row>
    <row r="140" spans="1:16" x14ac:dyDescent="0.25">
      <c r="A140" s="11"/>
      <c r="B140" s="11"/>
      <c r="C140" s="11"/>
      <c r="D140" s="11"/>
      <c r="E140" s="11"/>
      <c r="F140" s="11"/>
      <c r="G140" s="12"/>
      <c r="H140" s="13"/>
      <c r="I140" s="14"/>
      <c r="J140" s="14"/>
      <c r="K140" s="15">
        <f>IF(AND(G140&gt;0,H140&gt;0,I140&gt;0),(ROUNDUP(H140*12/G140,0)+1)*I140,"")</f>
      </c>
      <c r="L140" s="15">
        <f>IF(J140&gt;0,J140,IF(K140&gt;0,K140,""))</f>
      </c>
      <c r="M140" s="13"/>
      <c r="N140" s="16">
        <f>IF(AND(L140&gt;0,M140&gt;0),L140*M140,"")</f>
      </c>
      <c r="O140" s="17">
        <f>IFERROR(VLOOKUP(E140,'Bar Weights'!$A$3:$B$13,2,FALSE),"")</f>
      </c>
      <c r="P140" s="18">
        <f>IF(AND(N140&gt;0,O140&gt;0),N140*O140,"")</f>
      </c>
    </row>
    <row r="141" spans="1:16" x14ac:dyDescent="0.25">
      <c r="A141" s="11"/>
      <c r="B141" s="11"/>
      <c r="C141" s="11"/>
      <c r="D141" s="11"/>
      <c r="E141" s="11"/>
      <c r="F141" s="11"/>
      <c r="G141" s="12"/>
      <c r="H141" s="13"/>
      <c r="I141" s="14"/>
      <c r="J141" s="14"/>
      <c r="K141" s="15">
        <f>IF(AND(G141&gt;0,H141&gt;0,I141&gt;0),(ROUNDUP(H141*12/G141,0)+1)*I141,"")</f>
      </c>
      <c r="L141" s="15">
        <f>IF(J141&gt;0,J141,IF(K141&gt;0,K141,""))</f>
      </c>
      <c r="M141" s="13"/>
      <c r="N141" s="16">
        <f>IF(AND(L141&gt;0,M141&gt;0),L141*M141,"")</f>
      </c>
      <c r="O141" s="17">
        <f>IFERROR(VLOOKUP(E141,'Bar Weights'!$A$3:$B$13,2,FALSE),"")</f>
      </c>
      <c r="P141" s="18">
        <f>IF(AND(N141&gt;0,O141&gt;0),N141*O141,"")</f>
      </c>
    </row>
    <row r="142" spans="1:16" x14ac:dyDescent="0.25">
      <c r="A142" s="11"/>
      <c r="B142" s="11"/>
      <c r="C142" s="11"/>
      <c r="D142" s="11"/>
      <c r="E142" s="11"/>
      <c r="F142" s="11"/>
      <c r="G142" s="12"/>
      <c r="H142" s="13"/>
      <c r="I142" s="14"/>
      <c r="J142" s="14"/>
      <c r="K142" s="15">
        <f>IF(AND(G142&gt;0,H142&gt;0,I142&gt;0),(ROUNDUP(H142*12/G142,0)+1)*I142,"")</f>
      </c>
      <c r="L142" s="15">
        <f>IF(J142&gt;0,J142,IF(K142&gt;0,K142,""))</f>
      </c>
      <c r="M142" s="13"/>
      <c r="N142" s="16">
        <f>IF(AND(L142&gt;0,M142&gt;0),L142*M142,"")</f>
      </c>
      <c r="O142" s="17">
        <f>IFERROR(VLOOKUP(E142,'Bar Weights'!$A$3:$B$13,2,FALSE),"")</f>
      </c>
      <c r="P142" s="18">
        <f>IF(AND(N142&gt;0,O142&gt;0),N142*O142,"")</f>
      </c>
    </row>
    <row r="143" spans="1:16" x14ac:dyDescent="0.25">
      <c r="A143" s="11"/>
      <c r="B143" s="11"/>
      <c r="C143" s="11"/>
      <c r="D143" s="11"/>
      <c r="E143" s="11"/>
      <c r="F143" s="11"/>
      <c r="G143" s="12"/>
      <c r="H143" s="13"/>
      <c r="I143" s="14"/>
      <c r="J143" s="14"/>
      <c r="K143" s="15">
        <f>IF(AND(G143&gt;0,H143&gt;0,I143&gt;0),(ROUNDUP(H143*12/G143,0)+1)*I143,"")</f>
      </c>
      <c r="L143" s="15">
        <f>IF(J143&gt;0,J143,IF(K143&gt;0,K143,""))</f>
      </c>
      <c r="M143" s="13"/>
      <c r="N143" s="16">
        <f>IF(AND(L143&gt;0,M143&gt;0),L143*M143,"")</f>
      </c>
      <c r="O143" s="17">
        <f>IFERROR(VLOOKUP(E143,'Bar Weights'!$A$3:$B$13,2,FALSE),"")</f>
      </c>
      <c r="P143" s="18">
        <f>IF(AND(N143&gt;0,O143&gt;0),N143*O143,"")</f>
      </c>
    </row>
    <row r="144" spans="1:16" x14ac:dyDescent="0.25">
      <c r="A144" s="11"/>
      <c r="B144" s="11"/>
      <c r="C144" s="11"/>
      <c r="D144" s="11"/>
      <c r="E144" s="11"/>
      <c r="F144" s="11"/>
      <c r="G144" s="12"/>
      <c r="H144" s="13"/>
      <c r="I144" s="14"/>
      <c r="J144" s="14"/>
      <c r="K144" s="15">
        <f>IF(AND(G144&gt;0,H144&gt;0,I144&gt;0),(ROUNDUP(H144*12/G144,0)+1)*I144,"")</f>
      </c>
      <c r="L144" s="15">
        <f>IF(J144&gt;0,J144,IF(K144&gt;0,K144,""))</f>
      </c>
      <c r="M144" s="13"/>
      <c r="N144" s="16">
        <f>IF(AND(L144&gt;0,M144&gt;0),L144*M144,"")</f>
      </c>
      <c r="O144" s="17">
        <f>IFERROR(VLOOKUP(E144,'Bar Weights'!$A$3:$B$13,2,FALSE),"")</f>
      </c>
      <c r="P144" s="18">
        <f>IF(AND(N144&gt;0,O144&gt;0),N144*O144,"")</f>
      </c>
    </row>
    <row r="145" spans="1:16" x14ac:dyDescent="0.25">
      <c r="A145" s="11"/>
      <c r="B145" s="11"/>
      <c r="C145" s="11"/>
      <c r="D145" s="11"/>
      <c r="E145" s="11"/>
      <c r="F145" s="11"/>
      <c r="G145" s="12"/>
      <c r="H145" s="13"/>
      <c r="I145" s="14"/>
      <c r="J145" s="14"/>
      <c r="K145" s="15">
        <f>IF(AND(G145&gt;0,H145&gt;0,I145&gt;0),(ROUNDUP(H145*12/G145,0)+1)*I145,"")</f>
      </c>
      <c r="L145" s="15">
        <f>IF(J145&gt;0,J145,IF(K145&gt;0,K145,""))</f>
      </c>
      <c r="M145" s="13"/>
      <c r="N145" s="16">
        <f>IF(AND(L145&gt;0,M145&gt;0),L145*M145,"")</f>
      </c>
      <c r="O145" s="17">
        <f>IFERROR(VLOOKUP(E145,'Bar Weights'!$A$3:$B$13,2,FALSE),"")</f>
      </c>
      <c r="P145" s="18">
        <f>IF(AND(N145&gt;0,O145&gt;0),N145*O145,"")</f>
      </c>
    </row>
    <row r="146" spans="1:16" x14ac:dyDescent="0.25">
      <c r="A146" s="11"/>
      <c r="B146" s="11"/>
      <c r="C146" s="11"/>
      <c r="D146" s="11"/>
      <c r="E146" s="11"/>
      <c r="F146" s="11"/>
      <c r="G146" s="12"/>
      <c r="H146" s="13"/>
      <c r="I146" s="14"/>
      <c r="J146" s="14"/>
      <c r="K146" s="15">
        <f>IF(AND(G146&gt;0,H146&gt;0,I146&gt;0),(ROUNDUP(H146*12/G146,0)+1)*I146,"")</f>
      </c>
      <c r="L146" s="15">
        <f>IF(J146&gt;0,J146,IF(K146&gt;0,K146,""))</f>
      </c>
      <c r="M146" s="13"/>
      <c r="N146" s="16">
        <f>IF(AND(L146&gt;0,M146&gt;0),L146*M146,"")</f>
      </c>
      <c r="O146" s="17">
        <f>IFERROR(VLOOKUP(E146,'Bar Weights'!$A$3:$B$13,2,FALSE),"")</f>
      </c>
      <c r="P146" s="18">
        <f>IF(AND(N146&gt;0,O146&gt;0),N146*O146,"")</f>
      </c>
    </row>
    <row r="147" spans="1:16" x14ac:dyDescent="0.25">
      <c r="A147" s="11"/>
      <c r="B147" s="11"/>
      <c r="C147" s="11"/>
      <c r="D147" s="11"/>
      <c r="E147" s="11"/>
      <c r="F147" s="11"/>
      <c r="G147" s="12"/>
      <c r="H147" s="13"/>
      <c r="I147" s="14"/>
      <c r="J147" s="14"/>
      <c r="K147" s="15">
        <f>IF(AND(G147&gt;0,H147&gt;0,I147&gt;0),(ROUNDUP(H147*12/G147,0)+1)*I147,"")</f>
      </c>
      <c r="L147" s="15">
        <f>IF(J147&gt;0,J147,IF(K147&gt;0,K147,""))</f>
      </c>
      <c r="M147" s="13"/>
      <c r="N147" s="16">
        <f>IF(AND(L147&gt;0,M147&gt;0),L147*M147,"")</f>
      </c>
      <c r="O147" s="17">
        <f>IFERROR(VLOOKUP(E147,'Bar Weights'!$A$3:$B$13,2,FALSE),"")</f>
      </c>
      <c r="P147" s="18">
        <f>IF(AND(N147&gt;0,O147&gt;0),N147*O147,"")</f>
      </c>
    </row>
    <row r="148" spans="1:16" x14ac:dyDescent="0.25">
      <c r="A148" s="11"/>
      <c r="B148" s="11"/>
      <c r="C148" s="11"/>
      <c r="D148" s="11"/>
      <c r="E148" s="11"/>
      <c r="F148" s="11"/>
      <c r="G148" s="12"/>
      <c r="H148" s="13"/>
      <c r="I148" s="14"/>
      <c r="J148" s="14"/>
      <c r="K148" s="15">
        <f>IF(AND(G148&gt;0,H148&gt;0,I148&gt;0),(ROUNDUP(H148*12/G148,0)+1)*I148,"")</f>
      </c>
      <c r="L148" s="15">
        <f>IF(J148&gt;0,J148,IF(K148&gt;0,K148,""))</f>
      </c>
      <c r="M148" s="13"/>
      <c r="N148" s="16">
        <f>IF(AND(L148&gt;0,M148&gt;0),L148*M148,"")</f>
      </c>
      <c r="O148" s="17">
        <f>IFERROR(VLOOKUP(E148,'Bar Weights'!$A$3:$B$13,2,FALSE),"")</f>
      </c>
      <c r="P148" s="18">
        <f>IF(AND(N148&gt;0,O148&gt;0),N148*O148,"")</f>
      </c>
    </row>
    <row r="149" spans="1:16" x14ac:dyDescent="0.25">
      <c r="A149" s="11"/>
      <c r="B149" s="11"/>
      <c r="C149" s="11"/>
      <c r="D149" s="11"/>
      <c r="E149" s="11"/>
      <c r="F149" s="11"/>
      <c r="G149" s="12"/>
      <c r="H149" s="13"/>
      <c r="I149" s="14"/>
      <c r="J149" s="14"/>
      <c r="K149" s="15">
        <f>IF(AND(G149&gt;0,H149&gt;0,I149&gt;0),(ROUNDUP(H149*12/G149,0)+1)*I149,"")</f>
      </c>
      <c r="L149" s="15">
        <f>IF(J149&gt;0,J149,IF(K149&gt;0,K149,""))</f>
      </c>
      <c r="M149" s="13"/>
      <c r="N149" s="16">
        <f>IF(AND(L149&gt;0,M149&gt;0),L149*M149,"")</f>
      </c>
      <c r="O149" s="17">
        <f>IFERROR(VLOOKUP(E149,'Bar Weights'!$A$3:$B$13,2,FALSE),"")</f>
      </c>
      <c r="P149" s="18">
        <f>IF(AND(N149&gt;0,O149&gt;0),N149*O149,"")</f>
      </c>
    </row>
    <row r="150" spans="1:16" x14ac:dyDescent="0.25">
      <c r="A150" s="11"/>
      <c r="B150" s="11"/>
      <c r="C150" s="11"/>
      <c r="D150" s="11"/>
      <c r="E150" s="11"/>
      <c r="F150" s="11"/>
      <c r="G150" s="12"/>
      <c r="H150" s="13"/>
      <c r="I150" s="14"/>
      <c r="J150" s="14"/>
      <c r="K150" s="15">
        <f>IF(AND(G150&gt;0,H150&gt;0,I150&gt;0),(ROUNDUP(H150*12/G150,0)+1)*I150,"")</f>
      </c>
      <c r="L150" s="15">
        <f>IF(J150&gt;0,J150,IF(K150&gt;0,K150,""))</f>
      </c>
      <c r="M150" s="13"/>
      <c r="N150" s="16">
        <f>IF(AND(L150&gt;0,M150&gt;0),L150*M150,"")</f>
      </c>
      <c r="O150" s="17">
        <f>IFERROR(VLOOKUP(E150,'Bar Weights'!$A$3:$B$13,2,FALSE),"")</f>
      </c>
      <c r="P150" s="18">
        <f>IF(AND(N150&gt;0,O150&gt;0),N150*O150,"")</f>
      </c>
    </row>
    <row r="151" spans="1:16" x14ac:dyDescent="0.25">
      <c r="A151" s="11"/>
      <c r="B151" s="11"/>
      <c r="C151" s="11"/>
      <c r="D151" s="11"/>
      <c r="E151" s="11"/>
      <c r="F151" s="11"/>
      <c r="G151" s="12"/>
      <c r="H151" s="13"/>
      <c r="I151" s="14"/>
      <c r="J151" s="14"/>
      <c r="K151" s="15">
        <f>IF(AND(G151&gt;0,H151&gt;0,I151&gt;0),(ROUNDUP(H151*12/G151,0)+1)*I151,"")</f>
      </c>
      <c r="L151" s="15">
        <f>IF(J151&gt;0,J151,IF(K151&gt;0,K151,""))</f>
      </c>
      <c r="M151" s="13"/>
      <c r="N151" s="16">
        <f>IF(AND(L151&gt;0,M151&gt;0),L151*M151,"")</f>
      </c>
      <c r="O151" s="17">
        <f>IFERROR(VLOOKUP(E151,'Bar Weights'!$A$3:$B$13,2,FALSE),"")</f>
      </c>
      <c r="P151" s="18">
        <f>IF(AND(N151&gt;0,O151&gt;0),N151*O151,"")</f>
      </c>
    </row>
    <row r="152" spans="1:16" x14ac:dyDescent="0.25">
      <c r="A152" s="11"/>
      <c r="B152" s="11"/>
      <c r="C152" s="11"/>
      <c r="D152" s="11"/>
      <c r="E152" s="11"/>
      <c r="F152" s="11"/>
      <c r="G152" s="12"/>
      <c r="H152" s="13"/>
      <c r="I152" s="14"/>
      <c r="J152" s="14"/>
      <c r="K152" s="15">
        <f>IF(AND(G152&gt;0,H152&gt;0,I152&gt;0),(ROUNDUP(H152*12/G152,0)+1)*I152,"")</f>
      </c>
      <c r="L152" s="15">
        <f>IF(J152&gt;0,J152,IF(K152&gt;0,K152,""))</f>
      </c>
      <c r="M152" s="13"/>
      <c r="N152" s="16">
        <f>IF(AND(L152&gt;0,M152&gt;0),L152*M152,"")</f>
      </c>
      <c r="O152" s="17">
        <f>IFERROR(VLOOKUP(E152,'Bar Weights'!$A$3:$B$13,2,FALSE),"")</f>
      </c>
      <c r="P152" s="18">
        <f>IF(AND(N152&gt;0,O152&gt;0),N152*O152,"")</f>
      </c>
    </row>
    <row r="153" spans="1:16" x14ac:dyDescent="0.25">
      <c r="A153" s="11"/>
      <c r="B153" s="11"/>
      <c r="C153" s="11"/>
      <c r="D153" s="11"/>
      <c r="E153" s="11"/>
      <c r="F153" s="11"/>
      <c r="G153" s="12"/>
      <c r="H153" s="13"/>
      <c r="I153" s="14"/>
      <c r="J153" s="14"/>
      <c r="K153" s="15">
        <f>IF(AND(G153&gt;0,H153&gt;0,I153&gt;0),(ROUNDUP(H153*12/G153,0)+1)*I153,"")</f>
      </c>
      <c r="L153" s="15">
        <f>IF(J153&gt;0,J153,IF(K153&gt;0,K153,""))</f>
      </c>
      <c r="M153" s="13"/>
      <c r="N153" s="16">
        <f>IF(AND(L153&gt;0,M153&gt;0),L153*M153,"")</f>
      </c>
      <c r="O153" s="17">
        <f>IFERROR(VLOOKUP(E153,'Bar Weights'!$A$3:$B$13,2,FALSE),"")</f>
      </c>
      <c r="P153" s="18">
        <f>IF(AND(N153&gt;0,O153&gt;0),N153*O153,"")</f>
      </c>
    </row>
    <row r="154" spans="1:16" x14ac:dyDescent="0.25">
      <c r="A154" s="11"/>
      <c r="B154" s="11"/>
      <c r="C154" s="11"/>
      <c r="D154" s="11"/>
      <c r="E154" s="11"/>
      <c r="F154" s="11"/>
      <c r="G154" s="12"/>
      <c r="H154" s="13"/>
      <c r="I154" s="14"/>
      <c r="J154" s="14"/>
      <c r="K154" s="15">
        <f>IF(AND(G154&gt;0,H154&gt;0,I154&gt;0),(ROUNDUP(H154*12/G154,0)+1)*I154,"")</f>
      </c>
      <c r="L154" s="15">
        <f>IF(J154&gt;0,J154,IF(K154&gt;0,K154,""))</f>
      </c>
      <c r="M154" s="13"/>
      <c r="N154" s="16">
        <f>IF(AND(L154&gt;0,M154&gt;0),L154*M154,"")</f>
      </c>
      <c r="O154" s="17">
        <f>IFERROR(VLOOKUP(E154,'Bar Weights'!$A$3:$B$13,2,FALSE),"")</f>
      </c>
      <c r="P154" s="18">
        <f>IF(AND(N154&gt;0,O154&gt;0),N154*O154,"")</f>
      </c>
    </row>
    <row r="155" spans="1:16" x14ac:dyDescent="0.25">
      <c r="A155" s="11"/>
      <c r="B155" s="11"/>
      <c r="C155" s="11"/>
      <c r="D155" s="11"/>
      <c r="E155" s="11"/>
      <c r="F155" s="11"/>
      <c r="G155" s="12"/>
      <c r="H155" s="13"/>
      <c r="I155" s="14"/>
      <c r="J155" s="14"/>
      <c r="K155" s="15">
        <f>IF(AND(G155&gt;0,H155&gt;0,I155&gt;0),(ROUNDUP(H155*12/G155,0)+1)*I155,"")</f>
      </c>
      <c r="L155" s="15">
        <f>IF(J155&gt;0,J155,IF(K155&gt;0,K155,""))</f>
      </c>
      <c r="M155" s="13"/>
      <c r="N155" s="16">
        <f>IF(AND(L155&gt;0,M155&gt;0),L155*M155,"")</f>
      </c>
      <c r="O155" s="17">
        <f>IFERROR(VLOOKUP(E155,'Bar Weights'!$A$3:$B$13,2,FALSE),"")</f>
      </c>
      <c r="P155" s="18">
        <f>IF(AND(N155&gt;0,O155&gt;0),N155*O155,"")</f>
      </c>
    </row>
    <row r="156" spans="1:16" x14ac:dyDescent="0.25">
      <c r="A156" s="11"/>
      <c r="B156" s="11"/>
      <c r="C156" s="11"/>
      <c r="D156" s="11"/>
      <c r="E156" s="11"/>
      <c r="F156" s="11"/>
      <c r="G156" s="12"/>
      <c r="H156" s="13"/>
      <c r="I156" s="14"/>
      <c r="J156" s="14"/>
      <c r="K156" s="15">
        <f>IF(AND(G156&gt;0,H156&gt;0,I156&gt;0),(ROUNDUP(H156*12/G156,0)+1)*I156,"")</f>
      </c>
      <c r="L156" s="15">
        <f>IF(J156&gt;0,J156,IF(K156&gt;0,K156,""))</f>
      </c>
      <c r="M156" s="13"/>
      <c r="N156" s="16">
        <f>IF(AND(L156&gt;0,M156&gt;0),L156*M156,"")</f>
      </c>
      <c r="O156" s="17">
        <f>IFERROR(VLOOKUP(E156,'Bar Weights'!$A$3:$B$13,2,FALSE),"")</f>
      </c>
      <c r="P156" s="18">
        <f>IF(AND(N156&gt;0,O156&gt;0),N156*O156,"")</f>
      </c>
    </row>
    <row r="157" spans="1:16" x14ac:dyDescent="0.25">
      <c r="A157" s="11"/>
      <c r="B157" s="11"/>
      <c r="C157" s="11"/>
      <c r="D157" s="11"/>
      <c r="E157" s="11"/>
      <c r="F157" s="11"/>
      <c r="G157" s="12"/>
      <c r="H157" s="13"/>
      <c r="I157" s="14"/>
      <c r="J157" s="14"/>
      <c r="K157" s="15">
        <f>IF(AND(G157&gt;0,H157&gt;0,I157&gt;0),(ROUNDUP(H157*12/G157,0)+1)*I157,"")</f>
      </c>
      <c r="L157" s="15">
        <f>IF(J157&gt;0,J157,IF(K157&gt;0,K157,""))</f>
      </c>
      <c r="M157" s="13"/>
      <c r="N157" s="16">
        <f>IF(AND(L157&gt;0,M157&gt;0),L157*M157,"")</f>
      </c>
      <c r="O157" s="17">
        <f>IFERROR(VLOOKUP(E157,'Bar Weights'!$A$3:$B$13,2,FALSE),"")</f>
      </c>
      <c r="P157" s="18">
        <f>IF(AND(N157&gt;0,O157&gt;0),N157*O157,"")</f>
      </c>
    </row>
    <row r="158" spans="1:16" x14ac:dyDescent="0.25">
      <c r="A158" s="11"/>
      <c r="B158" s="11"/>
      <c r="C158" s="11"/>
      <c r="D158" s="11"/>
      <c r="E158" s="11"/>
      <c r="F158" s="11"/>
      <c r="G158" s="12"/>
      <c r="H158" s="13"/>
      <c r="I158" s="14"/>
      <c r="J158" s="14"/>
      <c r="K158" s="15">
        <f>IF(AND(G158&gt;0,H158&gt;0,I158&gt;0),(ROUNDUP(H158*12/G158,0)+1)*I158,"")</f>
      </c>
      <c r="L158" s="15">
        <f>IF(J158&gt;0,J158,IF(K158&gt;0,K158,""))</f>
      </c>
      <c r="M158" s="13"/>
      <c r="N158" s="16">
        <f>IF(AND(L158&gt;0,M158&gt;0),L158*M158,"")</f>
      </c>
      <c r="O158" s="17">
        <f>IFERROR(VLOOKUP(E158,'Bar Weights'!$A$3:$B$13,2,FALSE),"")</f>
      </c>
      <c r="P158" s="18">
        <f>IF(AND(N158&gt;0,O158&gt;0),N158*O158,"")</f>
      </c>
    </row>
    <row r="159" spans="1:16" x14ac:dyDescent="0.25">
      <c r="A159" s="11"/>
      <c r="B159" s="11"/>
      <c r="C159" s="11"/>
      <c r="D159" s="11"/>
      <c r="E159" s="11"/>
      <c r="F159" s="11"/>
      <c r="G159" s="12"/>
      <c r="H159" s="13"/>
      <c r="I159" s="14"/>
      <c r="J159" s="14"/>
      <c r="K159" s="15">
        <f>IF(AND(G159&gt;0,H159&gt;0,I159&gt;0),(ROUNDUP(H159*12/G159,0)+1)*I159,"")</f>
      </c>
      <c r="L159" s="15">
        <f>IF(J159&gt;0,J159,IF(K159&gt;0,K159,""))</f>
      </c>
      <c r="M159" s="13"/>
      <c r="N159" s="16">
        <f>IF(AND(L159&gt;0,M159&gt;0),L159*M159,"")</f>
      </c>
      <c r="O159" s="17">
        <f>IFERROR(VLOOKUP(E159,'Bar Weights'!$A$3:$B$13,2,FALSE),"")</f>
      </c>
      <c r="P159" s="18">
        <f>IF(AND(N159&gt;0,O159&gt;0),N159*O159,"")</f>
      </c>
    </row>
    <row r="160" spans="1:16" x14ac:dyDescent="0.25">
      <c r="A160" s="11"/>
      <c r="B160" s="11"/>
      <c r="C160" s="11"/>
      <c r="D160" s="11"/>
      <c r="E160" s="11"/>
      <c r="F160" s="11"/>
      <c r="G160" s="12"/>
      <c r="H160" s="13"/>
      <c r="I160" s="14"/>
      <c r="J160" s="14"/>
      <c r="K160" s="15">
        <f>IF(AND(G160&gt;0,H160&gt;0,I160&gt;0),(ROUNDUP(H160*12/G160,0)+1)*I160,"")</f>
      </c>
      <c r="L160" s="15">
        <f>IF(J160&gt;0,J160,IF(K160&gt;0,K160,""))</f>
      </c>
      <c r="M160" s="13"/>
      <c r="N160" s="16">
        <f>IF(AND(L160&gt;0,M160&gt;0),L160*M160,"")</f>
      </c>
      <c r="O160" s="17">
        <f>IFERROR(VLOOKUP(E160,'Bar Weights'!$A$3:$B$13,2,FALSE),"")</f>
      </c>
      <c r="P160" s="18">
        <f>IF(AND(N160&gt;0,O160&gt;0),N160*O160,"")</f>
      </c>
    </row>
    <row r="161" spans="1:16" x14ac:dyDescent="0.25">
      <c r="A161" s="11"/>
      <c r="B161" s="11"/>
      <c r="C161" s="11"/>
      <c r="D161" s="11"/>
      <c r="E161" s="11"/>
      <c r="F161" s="11"/>
      <c r="G161" s="12"/>
      <c r="H161" s="13"/>
      <c r="I161" s="14"/>
      <c r="J161" s="14"/>
      <c r="K161" s="15">
        <f>IF(AND(G161&gt;0,H161&gt;0,I161&gt;0),(ROUNDUP(H161*12/G161,0)+1)*I161,"")</f>
      </c>
      <c r="L161" s="15">
        <f>IF(J161&gt;0,J161,IF(K161&gt;0,K161,""))</f>
      </c>
      <c r="M161" s="13"/>
      <c r="N161" s="16">
        <f>IF(AND(L161&gt;0,M161&gt;0),L161*M161,"")</f>
      </c>
      <c r="O161" s="17">
        <f>IFERROR(VLOOKUP(E161,'Bar Weights'!$A$3:$B$13,2,FALSE),"")</f>
      </c>
      <c r="P161" s="18">
        <f>IF(AND(N161&gt;0,O161&gt;0),N161*O161,"")</f>
      </c>
    </row>
    <row r="162" spans="1:16" x14ac:dyDescent="0.25">
      <c r="A162" s="11"/>
      <c r="B162" s="11"/>
      <c r="C162" s="11"/>
      <c r="D162" s="11"/>
      <c r="E162" s="11"/>
      <c r="F162" s="11"/>
      <c r="G162" s="12"/>
      <c r="H162" s="13"/>
      <c r="I162" s="14"/>
      <c r="J162" s="14"/>
      <c r="K162" s="15">
        <f>IF(AND(G162&gt;0,H162&gt;0,I162&gt;0),(ROUNDUP(H162*12/G162,0)+1)*I162,"")</f>
      </c>
      <c r="L162" s="15">
        <f>IF(J162&gt;0,J162,IF(K162&gt;0,K162,""))</f>
      </c>
      <c r="M162" s="13"/>
      <c r="N162" s="16">
        <f>IF(AND(L162&gt;0,M162&gt;0),L162*M162,"")</f>
      </c>
      <c r="O162" s="17">
        <f>IFERROR(VLOOKUP(E162,'Bar Weights'!$A$3:$B$13,2,FALSE),"")</f>
      </c>
      <c r="P162" s="18">
        <f>IF(AND(N162&gt;0,O162&gt;0),N162*O162,"")</f>
      </c>
    </row>
    <row r="163" spans="1:16" x14ac:dyDescent="0.25">
      <c r="A163" s="11"/>
      <c r="B163" s="11"/>
      <c r="C163" s="11"/>
      <c r="D163" s="11"/>
      <c r="E163" s="11"/>
      <c r="F163" s="11"/>
      <c r="G163" s="12"/>
      <c r="H163" s="13"/>
      <c r="I163" s="14"/>
      <c r="J163" s="14"/>
      <c r="K163" s="15">
        <f>IF(AND(G163&gt;0,H163&gt;0,I163&gt;0),(ROUNDUP(H163*12/G163,0)+1)*I163,"")</f>
      </c>
      <c r="L163" s="15">
        <f>IF(J163&gt;0,J163,IF(K163&gt;0,K163,""))</f>
      </c>
      <c r="M163" s="13"/>
      <c r="N163" s="16">
        <f>IF(AND(L163&gt;0,M163&gt;0),L163*M163,"")</f>
      </c>
      <c r="O163" s="17">
        <f>IFERROR(VLOOKUP(E163,'Bar Weights'!$A$3:$B$13,2,FALSE),"")</f>
      </c>
      <c r="P163" s="18">
        <f>IF(AND(N163&gt;0,O163&gt;0),N163*O163,"")</f>
      </c>
    </row>
    <row r="164" spans="1:16" x14ac:dyDescent="0.25">
      <c r="A164" s="11"/>
      <c r="B164" s="11"/>
      <c r="C164" s="11"/>
      <c r="D164" s="11"/>
      <c r="E164" s="11"/>
      <c r="F164" s="11"/>
      <c r="G164" s="12"/>
      <c r="H164" s="13"/>
      <c r="I164" s="14"/>
      <c r="J164" s="14"/>
      <c r="K164" s="15">
        <f>IF(AND(G164&gt;0,H164&gt;0,I164&gt;0),(ROUNDUP(H164*12/G164,0)+1)*I164,"")</f>
      </c>
      <c r="L164" s="15">
        <f>IF(J164&gt;0,J164,IF(K164&gt;0,K164,""))</f>
      </c>
      <c r="M164" s="13"/>
      <c r="N164" s="16">
        <f>IF(AND(L164&gt;0,M164&gt;0),L164*M164,"")</f>
      </c>
      <c r="O164" s="17">
        <f>IFERROR(VLOOKUP(E164,'Bar Weights'!$A$3:$B$13,2,FALSE),"")</f>
      </c>
      <c r="P164" s="18">
        <f>IF(AND(N164&gt;0,O164&gt;0),N164*O164,"")</f>
      </c>
    </row>
    <row r="165" spans="1:16" x14ac:dyDescent="0.25">
      <c r="A165" s="11"/>
      <c r="B165" s="11"/>
      <c r="C165" s="11"/>
      <c r="D165" s="11"/>
      <c r="E165" s="11"/>
      <c r="F165" s="11"/>
      <c r="G165" s="12"/>
      <c r="H165" s="13"/>
      <c r="I165" s="14"/>
      <c r="J165" s="14"/>
      <c r="K165" s="15">
        <f>IF(AND(G165&gt;0,H165&gt;0,I165&gt;0),(ROUNDUP(H165*12/G165,0)+1)*I165,"")</f>
      </c>
      <c r="L165" s="15">
        <f>IF(J165&gt;0,J165,IF(K165&gt;0,K165,""))</f>
      </c>
      <c r="M165" s="13"/>
      <c r="N165" s="16">
        <f>IF(AND(L165&gt;0,M165&gt;0),L165*M165,"")</f>
      </c>
      <c r="O165" s="17">
        <f>IFERROR(VLOOKUP(E165,'Bar Weights'!$A$3:$B$13,2,FALSE),"")</f>
      </c>
      <c r="P165" s="18">
        <f>IF(AND(N165&gt;0,O165&gt;0),N165*O165,"")</f>
      </c>
    </row>
    <row r="166" spans="1:16" x14ac:dyDescent="0.25">
      <c r="A166" s="11"/>
      <c r="B166" s="11"/>
      <c r="C166" s="11"/>
      <c r="D166" s="11"/>
      <c r="E166" s="11"/>
      <c r="F166" s="11"/>
      <c r="G166" s="12"/>
      <c r="H166" s="13"/>
      <c r="I166" s="14"/>
      <c r="J166" s="14"/>
      <c r="K166" s="15">
        <f>IF(AND(G166&gt;0,H166&gt;0,I166&gt;0),(ROUNDUP(H166*12/G166,0)+1)*I166,"")</f>
      </c>
      <c r="L166" s="15">
        <f>IF(J166&gt;0,J166,IF(K166&gt;0,K166,""))</f>
      </c>
      <c r="M166" s="13"/>
      <c r="N166" s="16">
        <f>IF(AND(L166&gt;0,M166&gt;0),L166*M166,"")</f>
      </c>
      <c r="O166" s="17">
        <f>IFERROR(VLOOKUP(E166,'Bar Weights'!$A$3:$B$13,2,FALSE),"")</f>
      </c>
      <c r="P166" s="18">
        <f>IF(AND(N166&gt;0,O166&gt;0),N166*O166,"")</f>
      </c>
    </row>
    <row r="167" spans="1:16" x14ac:dyDescent="0.25">
      <c r="A167" s="11"/>
      <c r="B167" s="11"/>
      <c r="C167" s="11"/>
      <c r="D167" s="11"/>
      <c r="E167" s="11"/>
      <c r="F167" s="11"/>
      <c r="G167" s="12"/>
      <c r="H167" s="13"/>
      <c r="I167" s="14"/>
      <c r="J167" s="14"/>
      <c r="K167" s="15">
        <f>IF(AND(G167&gt;0,H167&gt;0,I167&gt;0),(ROUNDUP(H167*12/G167,0)+1)*I167,"")</f>
      </c>
      <c r="L167" s="15">
        <f>IF(J167&gt;0,J167,IF(K167&gt;0,K167,""))</f>
      </c>
      <c r="M167" s="13"/>
      <c r="N167" s="16">
        <f>IF(AND(L167&gt;0,M167&gt;0),L167*M167,"")</f>
      </c>
      <c r="O167" s="17">
        <f>IFERROR(VLOOKUP(E167,'Bar Weights'!$A$3:$B$13,2,FALSE),"")</f>
      </c>
      <c r="P167" s="18">
        <f>IF(AND(N167&gt;0,O167&gt;0),N167*O167,"")</f>
      </c>
    </row>
    <row r="168" spans="1:16" x14ac:dyDescent="0.25">
      <c r="A168" s="11"/>
      <c r="B168" s="11"/>
      <c r="C168" s="11"/>
      <c r="D168" s="11"/>
      <c r="E168" s="11"/>
      <c r="F168" s="11"/>
      <c r="G168" s="12"/>
      <c r="H168" s="13"/>
      <c r="I168" s="14"/>
      <c r="J168" s="14"/>
      <c r="K168" s="15">
        <f>IF(AND(G168&gt;0,H168&gt;0,I168&gt;0),(ROUNDUP(H168*12/G168,0)+1)*I168,"")</f>
      </c>
      <c r="L168" s="15">
        <f>IF(J168&gt;0,J168,IF(K168&gt;0,K168,""))</f>
      </c>
      <c r="M168" s="13"/>
      <c r="N168" s="16">
        <f>IF(AND(L168&gt;0,M168&gt;0),L168*M168,"")</f>
      </c>
      <c r="O168" s="17">
        <f>IFERROR(VLOOKUP(E168,'Bar Weights'!$A$3:$B$13,2,FALSE),"")</f>
      </c>
      <c r="P168" s="18">
        <f>IF(AND(N168&gt;0,O168&gt;0),N168*O168,"")</f>
      </c>
    </row>
    <row r="169" spans="1:16" x14ac:dyDescent="0.25">
      <c r="A169" s="11"/>
      <c r="B169" s="11"/>
      <c r="C169" s="11"/>
      <c r="D169" s="11"/>
      <c r="E169" s="11"/>
      <c r="F169" s="11"/>
      <c r="G169" s="12"/>
      <c r="H169" s="13"/>
      <c r="I169" s="14"/>
      <c r="J169" s="14"/>
      <c r="K169" s="15">
        <f>IF(AND(G169&gt;0,H169&gt;0,I169&gt;0),(ROUNDUP(H169*12/G169,0)+1)*I169,"")</f>
      </c>
      <c r="L169" s="15">
        <f>IF(J169&gt;0,J169,IF(K169&gt;0,K169,""))</f>
      </c>
      <c r="M169" s="13"/>
      <c r="N169" s="16">
        <f>IF(AND(L169&gt;0,M169&gt;0),L169*M169,"")</f>
      </c>
      <c r="O169" s="17">
        <f>IFERROR(VLOOKUP(E169,'Bar Weights'!$A$3:$B$13,2,FALSE),"")</f>
      </c>
      <c r="P169" s="18">
        <f>IF(AND(N169&gt;0,O169&gt;0),N169*O169,"")</f>
      </c>
    </row>
    <row r="170" spans="1:16" x14ac:dyDescent="0.25">
      <c r="A170" s="11"/>
      <c r="B170" s="11"/>
      <c r="C170" s="11"/>
      <c r="D170" s="11"/>
      <c r="E170" s="11"/>
      <c r="F170" s="11"/>
      <c r="G170" s="12"/>
      <c r="H170" s="13"/>
      <c r="I170" s="14"/>
      <c r="J170" s="14"/>
      <c r="K170" s="15">
        <f>IF(AND(G170&gt;0,H170&gt;0,I170&gt;0),(ROUNDUP(H170*12/G170,0)+1)*I170,"")</f>
      </c>
      <c r="L170" s="15">
        <f>IF(J170&gt;0,J170,IF(K170&gt;0,K170,""))</f>
      </c>
      <c r="M170" s="13"/>
      <c r="N170" s="16">
        <f>IF(AND(L170&gt;0,M170&gt;0),L170*M170,"")</f>
      </c>
      <c r="O170" s="17">
        <f>IFERROR(VLOOKUP(E170,'Bar Weights'!$A$3:$B$13,2,FALSE),"")</f>
      </c>
      <c r="P170" s="18">
        <f>IF(AND(N170&gt;0,O170&gt;0),N170*O170,"")</f>
      </c>
    </row>
    <row r="171" spans="1:16" x14ac:dyDescent="0.25">
      <c r="A171" s="11"/>
      <c r="B171" s="11"/>
      <c r="C171" s="11"/>
      <c r="D171" s="11"/>
      <c r="E171" s="11"/>
      <c r="F171" s="11"/>
      <c r="G171" s="12"/>
      <c r="H171" s="13"/>
      <c r="I171" s="14"/>
      <c r="J171" s="14"/>
      <c r="K171" s="15">
        <f>IF(AND(G171&gt;0,H171&gt;0,I171&gt;0),(ROUNDUP(H171*12/G171,0)+1)*I171,"")</f>
      </c>
      <c r="L171" s="15">
        <f>IF(J171&gt;0,J171,IF(K171&gt;0,K171,""))</f>
      </c>
      <c r="M171" s="13"/>
      <c r="N171" s="16">
        <f>IF(AND(L171&gt;0,M171&gt;0),L171*M171,"")</f>
      </c>
      <c r="O171" s="17">
        <f>IFERROR(VLOOKUP(E171,'Bar Weights'!$A$3:$B$13,2,FALSE),"")</f>
      </c>
      <c r="P171" s="18">
        <f>IF(AND(N171&gt;0,O171&gt;0),N171*O171,"")</f>
      </c>
    </row>
    <row r="172" spans="1:16" x14ac:dyDescent="0.25">
      <c r="A172" s="11"/>
      <c r="B172" s="11"/>
      <c r="C172" s="11"/>
      <c r="D172" s="11"/>
      <c r="E172" s="11"/>
      <c r="F172" s="11"/>
      <c r="G172" s="12"/>
      <c r="H172" s="13"/>
      <c r="I172" s="14"/>
      <c r="J172" s="14"/>
      <c r="K172" s="15">
        <f>IF(AND(G172&gt;0,H172&gt;0,I172&gt;0),(ROUNDUP(H172*12/G172,0)+1)*I172,"")</f>
      </c>
      <c r="L172" s="15">
        <f>IF(J172&gt;0,J172,IF(K172&gt;0,K172,""))</f>
      </c>
      <c r="M172" s="13"/>
      <c r="N172" s="16">
        <f>IF(AND(L172&gt;0,M172&gt;0),L172*M172,"")</f>
      </c>
      <c r="O172" s="17">
        <f>IFERROR(VLOOKUP(E172,'Bar Weights'!$A$3:$B$13,2,FALSE),"")</f>
      </c>
      <c r="P172" s="18">
        <f>IF(AND(N172&gt;0,O172&gt;0),N172*O172,"")</f>
      </c>
    </row>
    <row r="173" spans="1:16" x14ac:dyDescent="0.25">
      <c r="A173" s="11"/>
      <c r="B173" s="11"/>
      <c r="C173" s="11"/>
      <c r="D173" s="11"/>
      <c r="E173" s="11"/>
      <c r="F173" s="11"/>
      <c r="G173" s="12"/>
      <c r="H173" s="13"/>
      <c r="I173" s="14"/>
      <c r="J173" s="14"/>
      <c r="K173" s="15">
        <f>IF(AND(G173&gt;0,H173&gt;0,I173&gt;0),(ROUNDUP(H173*12/G173,0)+1)*I173,"")</f>
      </c>
      <c r="L173" s="15">
        <f>IF(J173&gt;0,J173,IF(K173&gt;0,K173,""))</f>
      </c>
      <c r="M173" s="13"/>
      <c r="N173" s="16">
        <f>IF(AND(L173&gt;0,M173&gt;0),L173*M173,"")</f>
      </c>
      <c r="O173" s="17">
        <f>IFERROR(VLOOKUP(E173,'Bar Weights'!$A$3:$B$13,2,FALSE),"")</f>
      </c>
      <c r="P173" s="18">
        <f>IF(AND(N173&gt;0,O173&gt;0),N173*O173,"")</f>
      </c>
    </row>
    <row r="174" spans="1:16" x14ac:dyDescent="0.25">
      <c r="A174" s="11"/>
      <c r="B174" s="11"/>
      <c r="C174" s="11"/>
      <c r="D174" s="11"/>
      <c r="E174" s="11"/>
      <c r="F174" s="11"/>
      <c r="G174" s="12"/>
      <c r="H174" s="13"/>
      <c r="I174" s="14"/>
      <c r="J174" s="14"/>
      <c r="K174" s="15">
        <f>IF(AND(G174&gt;0,H174&gt;0,I174&gt;0),(ROUNDUP(H174*12/G174,0)+1)*I174,"")</f>
      </c>
      <c r="L174" s="15">
        <f>IF(J174&gt;0,J174,IF(K174&gt;0,K174,""))</f>
      </c>
      <c r="M174" s="13"/>
      <c r="N174" s="16">
        <f>IF(AND(L174&gt;0,M174&gt;0),L174*M174,"")</f>
      </c>
      <c r="O174" s="17">
        <f>IFERROR(VLOOKUP(E174,'Bar Weights'!$A$3:$B$13,2,FALSE),"")</f>
      </c>
      <c r="P174" s="18">
        <f>IF(AND(N174&gt;0,O174&gt;0),N174*O174,"")</f>
      </c>
    </row>
    <row r="175" spans="1:16" x14ac:dyDescent="0.25">
      <c r="A175" s="11"/>
      <c r="B175" s="11"/>
      <c r="C175" s="11"/>
      <c r="D175" s="11"/>
      <c r="E175" s="11"/>
      <c r="F175" s="11"/>
      <c r="G175" s="12"/>
      <c r="H175" s="13"/>
      <c r="I175" s="14"/>
      <c r="J175" s="14"/>
      <c r="K175" s="15">
        <f>IF(AND(G175&gt;0,H175&gt;0,I175&gt;0),(ROUNDUP(H175*12/G175,0)+1)*I175,"")</f>
      </c>
      <c r="L175" s="15">
        <f>IF(J175&gt;0,J175,IF(K175&gt;0,K175,""))</f>
      </c>
      <c r="M175" s="13"/>
      <c r="N175" s="16">
        <f>IF(AND(L175&gt;0,M175&gt;0),L175*M175,"")</f>
      </c>
      <c r="O175" s="17">
        <f>IFERROR(VLOOKUP(E175,'Bar Weights'!$A$3:$B$13,2,FALSE),"")</f>
      </c>
      <c r="P175" s="18">
        <f>IF(AND(N175&gt;0,O175&gt;0),N175*O175,"")</f>
      </c>
    </row>
    <row r="176" spans="1:16" x14ac:dyDescent="0.25">
      <c r="A176" s="11"/>
      <c r="B176" s="11"/>
      <c r="C176" s="11"/>
      <c r="D176" s="11"/>
      <c r="E176" s="11"/>
      <c r="F176" s="11"/>
      <c r="G176" s="12"/>
      <c r="H176" s="13"/>
      <c r="I176" s="14"/>
      <c r="J176" s="14"/>
      <c r="K176" s="15">
        <f>IF(AND(G176&gt;0,H176&gt;0,I176&gt;0),(ROUNDUP(H176*12/G176,0)+1)*I176,"")</f>
      </c>
      <c r="L176" s="15">
        <f>IF(J176&gt;0,J176,IF(K176&gt;0,K176,""))</f>
      </c>
      <c r="M176" s="13"/>
      <c r="N176" s="16">
        <f>IF(AND(L176&gt;0,M176&gt;0),L176*M176,"")</f>
      </c>
      <c r="O176" s="17">
        <f>IFERROR(VLOOKUP(E176,'Bar Weights'!$A$3:$B$13,2,FALSE),"")</f>
      </c>
      <c r="P176" s="18">
        <f>IF(AND(N176&gt;0,O176&gt;0),N176*O176,"")</f>
      </c>
    </row>
    <row r="177" spans="1:16" x14ac:dyDescent="0.25">
      <c r="A177" s="11"/>
      <c r="B177" s="11"/>
      <c r="C177" s="11"/>
      <c r="D177" s="11"/>
      <c r="E177" s="11"/>
      <c r="F177" s="11"/>
      <c r="G177" s="12"/>
      <c r="H177" s="13"/>
      <c r="I177" s="14"/>
      <c r="J177" s="14"/>
      <c r="K177" s="15">
        <f>IF(AND(G177&gt;0,H177&gt;0,I177&gt;0),(ROUNDUP(H177*12/G177,0)+1)*I177,"")</f>
      </c>
      <c r="L177" s="15">
        <f>IF(J177&gt;0,J177,IF(K177&gt;0,K177,""))</f>
      </c>
      <c r="M177" s="13"/>
      <c r="N177" s="16">
        <f>IF(AND(L177&gt;0,M177&gt;0),L177*M177,"")</f>
      </c>
      <c r="O177" s="17">
        <f>IFERROR(VLOOKUP(E177,'Bar Weights'!$A$3:$B$13,2,FALSE),"")</f>
      </c>
      <c r="P177" s="18">
        <f>IF(AND(N177&gt;0,O177&gt;0),N177*O177,"")</f>
      </c>
    </row>
    <row r="178" spans="1:16" x14ac:dyDescent="0.25">
      <c r="A178" s="11"/>
      <c r="B178" s="11"/>
      <c r="C178" s="11"/>
      <c r="D178" s="11"/>
      <c r="E178" s="11"/>
      <c r="F178" s="11"/>
      <c r="G178" s="12"/>
      <c r="H178" s="13"/>
      <c r="I178" s="14"/>
      <c r="J178" s="14"/>
      <c r="K178" s="15">
        <f>IF(AND(G178&gt;0,H178&gt;0,I178&gt;0),(ROUNDUP(H178*12/G178,0)+1)*I178,"")</f>
      </c>
      <c r="L178" s="15">
        <f>IF(J178&gt;0,J178,IF(K178&gt;0,K178,""))</f>
      </c>
      <c r="M178" s="13"/>
      <c r="N178" s="16">
        <f>IF(AND(L178&gt;0,M178&gt;0),L178*M178,"")</f>
      </c>
      <c r="O178" s="17">
        <f>IFERROR(VLOOKUP(E178,'Bar Weights'!$A$3:$B$13,2,FALSE),"")</f>
      </c>
      <c r="P178" s="18">
        <f>IF(AND(N178&gt;0,O178&gt;0),N178*O178,"")</f>
      </c>
    </row>
    <row r="179" spans="1:16" x14ac:dyDescent="0.25">
      <c r="A179" s="11"/>
      <c r="B179" s="11"/>
      <c r="C179" s="11"/>
      <c r="D179" s="11"/>
      <c r="E179" s="11"/>
      <c r="F179" s="11"/>
      <c r="G179" s="12"/>
      <c r="H179" s="13"/>
      <c r="I179" s="14"/>
      <c r="J179" s="14"/>
      <c r="K179" s="15">
        <f>IF(AND(G179&gt;0,H179&gt;0,I179&gt;0),(ROUNDUP(H179*12/G179,0)+1)*I179,"")</f>
      </c>
      <c r="L179" s="15">
        <f>IF(J179&gt;0,J179,IF(K179&gt;0,K179,""))</f>
      </c>
      <c r="M179" s="13"/>
      <c r="N179" s="16">
        <f>IF(AND(L179&gt;0,M179&gt;0),L179*M179,"")</f>
      </c>
      <c r="O179" s="17">
        <f>IFERROR(VLOOKUP(E179,'Bar Weights'!$A$3:$B$13,2,FALSE),"")</f>
      </c>
      <c r="P179" s="18">
        <f>IF(AND(N179&gt;0,O179&gt;0),N179*O179,"")</f>
      </c>
    </row>
    <row r="180" spans="1:16" x14ac:dyDescent="0.25">
      <c r="A180" s="11"/>
      <c r="B180" s="11"/>
      <c r="C180" s="11"/>
      <c r="D180" s="11"/>
      <c r="E180" s="11"/>
      <c r="F180" s="11"/>
      <c r="G180" s="12"/>
      <c r="H180" s="13"/>
      <c r="I180" s="14"/>
      <c r="J180" s="14"/>
      <c r="K180" s="15">
        <f>IF(AND(G180&gt;0,H180&gt;0,I180&gt;0),(ROUNDUP(H180*12/G180,0)+1)*I180,"")</f>
      </c>
      <c r="L180" s="15">
        <f>IF(J180&gt;0,J180,IF(K180&gt;0,K180,""))</f>
      </c>
      <c r="M180" s="13"/>
      <c r="N180" s="16">
        <f>IF(AND(L180&gt;0,M180&gt;0),L180*M180,"")</f>
      </c>
      <c r="O180" s="17">
        <f>IFERROR(VLOOKUP(E180,'Bar Weights'!$A$3:$B$13,2,FALSE),"")</f>
      </c>
      <c r="P180" s="18">
        <f>IF(AND(N180&gt;0,O180&gt;0),N180*O180,"")</f>
      </c>
    </row>
    <row r="181" spans="1:16" x14ac:dyDescent="0.25">
      <c r="A181" s="11"/>
      <c r="B181" s="11"/>
      <c r="C181" s="11"/>
      <c r="D181" s="11"/>
      <c r="E181" s="11"/>
      <c r="F181" s="11"/>
      <c r="G181" s="12"/>
      <c r="H181" s="13"/>
      <c r="I181" s="14"/>
      <c r="J181" s="14"/>
      <c r="K181" s="15">
        <f>IF(AND(G181&gt;0,H181&gt;0,I181&gt;0),(ROUNDUP(H181*12/G181,0)+1)*I181,"")</f>
      </c>
      <c r="L181" s="15">
        <f>IF(J181&gt;0,J181,IF(K181&gt;0,K181,""))</f>
      </c>
      <c r="M181" s="13"/>
      <c r="N181" s="16">
        <f>IF(AND(L181&gt;0,M181&gt;0),L181*M181,"")</f>
      </c>
      <c r="O181" s="17">
        <f>IFERROR(VLOOKUP(E181,'Bar Weights'!$A$3:$B$13,2,FALSE),"")</f>
      </c>
      <c r="P181" s="18">
        <f>IF(AND(N181&gt;0,O181&gt;0),N181*O181,"")</f>
      </c>
    </row>
    <row r="182" spans="1:16" x14ac:dyDescent="0.25">
      <c r="A182" s="11"/>
      <c r="B182" s="11"/>
      <c r="C182" s="11"/>
      <c r="D182" s="11"/>
      <c r="E182" s="11"/>
      <c r="F182" s="11"/>
      <c r="G182" s="12"/>
      <c r="H182" s="13"/>
      <c r="I182" s="14"/>
      <c r="J182" s="14"/>
      <c r="K182" s="15">
        <f>IF(AND(G182&gt;0,H182&gt;0,I182&gt;0),(ROUNDUP(H182*12/G182,0)+1)*I182,"")</f>
      </c>
      <c r="L182" s="15">
        <f>IF(J182&gt;0,J182,IF(K182&gt;0,K182,""))</f>
      </c>
      <c r="M182" s="13"/>
      <c r="N182" s="16">
        <f>IF(AND(L182&gt;0,M182&gt;0),L182*M182,"")</f>
      </c>
      <c r="O182" s="17">
        <f>IFERROR(VLOOKUP(E182,'Bar Weights'!$A$3:$B$13,2,FALSE),"")</f>
      </c>
      <c r="P182" s="18">
        <f>IF(AND(N182&gt;0,O182&gt;0),N182*O182,"")</f>
      </c>
    </row>
    <row r="183" spans="1:16" x14ac:dyDescent="0.25">
      <c r="A183" s="11"/>
      <c r="B183" s="11"/>
      <c r="C183" s="11"/>
      <c r="D183" s="11"/>
      <c r="E183" s="11"/>
      <c r="F183" s="11"/>
      <c r="G183" s="12"/>
      <c r="H183" s="13"/>
      <c r="I183" s="14"/>
      <c r="J183" s="14"/>
      <c r="K183" s="15">
        <f>IF(AND(G183&gt;0,H183&gt;0,I183&gt;0),(ROUNDUP(H183*12/G183,0)+1)*I183,"")</f>
      </c>
      <c r="L183" s="15">
        <f>IF(J183&gt;0,J183,IF(K183&gt;0,K183,""))</f>
      </c>
      <c r="M183" s="13"/>
      <c r="N183" s="16">
        <f>IF(AND(L183&gt;0,M183&gt;0),L183*M183,"")</f>
      </c>
      <c r="O183" s="17">
        <f>IFERROR(VLOOKUP(E183,'Bar Weights'!$A$3:$B$13,2,FALSE),"")</f>
      </c>
      <c r="P183" s="18">
        <f>IF(AND(N183&gt;0,O183&gt;0),N183*O183,"")</f>
      </c>
    </row>
    <row r="184" spans="1:16" x14ac:dyDescent="0.25">
      <c r="A184" s="11"/>
      <c r="B184" s="11"/>
      <c r="C184" s="11"/>
      <c r="D184" s="11"/>
      <c r="E184" s="11"/>
      <c r="F184" s="11"/>
      <c r="G184" s="12"/>
      <c r="H184" s="13"/>
      <c r="I184" s="14"/>
      <c r="J184" s="14"/>
      <c r="K184" s="15">
        <f>IF(AND(G184&gt;0,H184&gt;0,I184&gt;0),(ROUNDUP(H184*12/G184,0)+1)*I184,"")</f>
      </c>
      <c r="L184" s="15">
        <f>IF(J184&gt;0,J184,IF(K184&gt;0,K184,""))</f>
      </c>
      <c r="M184" s="13"/>
      <c r="N184" s="16">
        <f>IF(AND(L184&gt;0,M184&gt;0),L184*M184,"")</f>
      </c>
      <c r="O184" s="17">
        <f>IFERROR(VLOOKUP(E184,'Bar Weights'!$A$3:$B$13,2,FALSE),"")</f>
      </c>
      <c r="P184" s="18">
        <f>IF(AND(N184&gt;0,O184&gt;0),N184*O184,"")</f>
      </c>
    </row>
    <row r="185" spans="1:16" x14ac:dyDescent="0.25">
      <c r="A185" s="11"/>
      <c r="B185" s="11"/>
      <c r="C185" s="11"/>
      <c r="D185" s="11"/>
      <c r="E185" s="11"/>
      <c r="F185" s="11"/>
      <c r="G185" s="12"/>
      <c r="H185" s="13"/>
      <c r="I185" s="14"/>
      <c r="J185" s="14"/>
      <c r="K185" s="15">
        <f>IF(AND(G185&gt;0,H185&gt;0,I185&gt;0),(ROUNDUP(H185*12/G185,0)+1)*I185,"")</f>
      </c>
      <c r="L185" s="15">
        <f>IF(J185&gt;0,J185,IF(K185&gt;0,K185,""))</f>
      </c>
      <c r="M185" s="13"/>
      <c r="N185" s="16">
        <f>IF(AND(L185&gt;0,M185&gt;0),L185*M185,"")</f>
      </c>
      <c r="O185" s="17">
        <f>IFERROR(VLOOKUP(E185,'Bar Weights'!$A$3:$B$13,2,FALSE),"")</f>
      </c>
      <c r="P185" s="18">
        <f>IF(AND(N185&gt;0,O185&gt;0),N185*O185,"")</f>
      </c>
    </row>
    <row r="186" spans="1:16" x14ac:dyDescent="0.25">
      <c r="A186" s="11"/>
      <c r="B186" s="11"/>
      <c r="C186" s="11"/>
      <c r="D186" s="11"/>
      <c r="E186" s="11"/>
      <c r="F186" s="11"/>
      <c r="G186" s="12"/>
      <c r="H186" s="13"/>
      <c r="I186" s="14"/>
      <c r="J186" s="14"/>
      <c r="K186" s="15">
        <f>IF(AND(G186&gt;0,H186&gt;0,I186&gt;0),(ROUNDUP(H186*12/G186,0)+1)*I186,"")</f>
      </c>
      <c r="L186" s="15">
        <f>IF(J186&gt;0,J186,IF(K186&gt;0,K186,""))</f>
      </c>
      <c r="M186" s="13"/>
      <c r="N186" s="16">
        <f>IF(AND(L186&gt;0,M186&gt;0),L186*M186,"")</f>
      </c>
      <c r="O186" s="17">
        <f>IFERROR(VLOOKUP(E186,'Bar Weights'!$A$3:$B$13,2,FALSE),"")</f>
      </c>
      <c r="P186" s="18">
        <f>IF(AND(N186&gt;0,O186&gt;0),N186*O186,"")</f>
      </c>
    </row>
    <row r="187" spans="1:16" x14ac:dyDescent="0.25">
      <c r="A187" s="11"/>
      <c r="B187" s="11"/>
      <c r="C187" s="11"/>
      <c r="D187" s="11"/>
      <c r="E187" s="11"/>
      <c r="F187" s="11"/>
      <c r="G187" s="12"/>
      <c r="H187" s="13"/>
      <c r="I187" s="14"/>
      <c r="J187" s="14"/>
      <c r="K187" s="15">
        <f>IF(AND(G187&gt;0,H187&gt;0,I187&gt;0),(ROUNDUP(H187*12/G187,0)+1)*I187,"")</f>
      </c>
      <c r="L187" s="15">
        <f>IF(J187&gt;0,J187,IF(K187&gt;0,K187,""))</f>
      </c>
      <c r="M187" s="13"/>
      <c r="N187" s="16">
        <f>IF(AND(L187&gt;0,M187&gt;0),L187*M187,"")</f>
      </c>
      <c r="O187" s="17">
        <f>IFERROR(VLOOKUP(E187,'Bar Weights'!$A$3:$B$13,2,FALSE),"")</f>
      </c>
      <c r="P187" s="18">
        <f>IF(AND(N187&gt;0,O187&gt;0),N187*O187,"")</f>
      </c>
    </row>
    <row r="188" spans="1:16" x14ac:dyDescent="0.25">
      <c r="A188" s="11"/>
      <c r="B188" s="11"/>
      <c r="C188" s="11"/>
      <c r="D188" s="11"/>
      <c r="E188" s="11"/>
      <c r="F188" s="11"/>
      <c r="G188" s="12"/>
      <c r="H188" s="13"/>
      <c r="I188" s="14"/>
      <c r="J188" s="14"/>
      <c r="K188" s="15">
        <f>IF(AND(G188&gt;0,H188&gt;0,I188&gt;0),(ROUNDUP(H188*12/G188,0)+1)*I188,"")</f>
      </c>
      <c r="L188" s="15">
        <f>IF(J188&gt;0,J188,IF(K188&gt;0,K188,""))</f>
      </c>
      <c r="M188" s="13"/>
      <c r="N188" s="16">
        <f>IF(AND(L188&gt;0,M188&gt;0),L188*M188,"")</f>
      </c>
      <c r="O188" s="17">
        <f>IFERROR(VLOOKUP(E188,'Bar Weights'!$A$3:$B$13,2,FALSE),"")</f>
      </c>
      <c r="P188" s="18">
        <f>IF(AND(N188&gt;0,O188&gt;0),N188*O188,"")</f>
      </c>
    </row>
    <row r="189" spans="1:16" x14ac:dyDescent="0.25">
      <c r="A189" s="11"/>
      <c r="B189" s="11"/>
      <c r="C189" s="11"/>
      <c r="D189" s="11"/>
      <c r="E189" s="11"/>
      <c r="F189" s="11"/>
      <c r="G189" s="12"/>
      <c r="H189" s="13"/>
      <c r="I189" s="14"/>
      <c r="J189" s="14"/>
      <c r="K189" s="15">
        <f>IF(AND(G189&gt;0,H189&gt;0,I189&gt;0),(ROUNDUP(H189*12/G189,0)+1)*I189,"")</f>
      </c>
      <c r="L189" s="15">
        <f>IF(J189&gt;0,J189,IF(K189&gt;0,K189,""))</f>
      </c>
      <c r="M189" s="13"/>
      <c r="N189" s="16">
        <f>IF(AND(L189&gt;0,M189&gt;0),L189*M189,"")</f>
      </c>
      <c r="O189" s="17">
        <f>IFERROR(VLOOKUP(E189,'Bar Weights'!$A$3:$B$13,2,FALSE),"")</f>
      </c>
      <c r="P189" s="18">
        <f>IF(AND(N189&gt;0,O189&gt;0),N189*O189,"")</f>
      </c>
    </row>
    <row r="190" spans="1:16" x14ac:dyDescent="0.25">
      <c r="A190" s="11"/>
      <c r="B190" s="11"/>
      <c r="C190" s="11"/>
      <c r="D190" s="11"/>
      <c r="E190" s="11"/>
      <c r="F190" s="11"/>
      <c r="G190" s="12"/>
      <c r="H190" s="13"/>
      <c r="I190" s="14"/>
      <c r="J190" s="14"/>
      <c r="K190" s="15">
        <f>IF(AND(G190&gt;0,H190&gt;0,I190&gt;0),(ROUNDUP(H190*12/G190,0)+1)*I190,"")</f>
      </c>
      <c r="L190" s="15">
        <f>IF(J190&gt;0,J190,IF(K190&gt;0,K190,""))</f>
      </c>
      <c r="M190" s="13"/>
      <c r="N190" s="16">
        <f>IF(AND(L190&gt;0,M190&gt;0),L190*M190,"")</f>
      </c>
      <c r="O190" s="17">
        <f>IFERROR(VLOOKUP(E190,'Bar Weights'!$A$3:$B$13,2,FALSE),"")</f>
      </c>
      <c r="P190" s="18">
        <f>IF(AND(N190&gt;0,O190&gt;0),N190*O190,"")</f>
      </c>
    </row>
    <row r="191" spans="1:16" x14ac:dyDescent="0.25">
      <c r="A191" s="11"/>
      <c r="B191" s="11"/>
      <c r="C191" s="11"/>
      <c r="D191" s="11"/>
      <c r="E191" s="11"/>
      <c r="F191" s="11"/>
      <c r="G191" s="12"/>
      <c r="H191" s="13"/>
      <c r="I191" s="14"/>
      <c r="J191" s="14"/>
      <c r="K191" s="15">
        <f>IF(AND(G191&gt;0,H191&gt;0,I191&gt;0),(ROUNDUP(H191*12/G191,0)+1)*I191,"")</f>
      </c>
      <c r="L191" s="15">
        <f>IF(J191&gt;0,J191,IF(K191&gt;0,K191,""))</f>
      </c>
      <c r="M191" s="13"/>
      <c r="N191" s="16">
        <f>IF(AND(L191&gt;0,M191&gt;0),L191*M191,"")</f>
      </c>
      <c r="O191" s="17">
        <f>IFERROR(VLOOKUP(E191,'Bar Weights'!$A$3:$B$13,2,FALSE),"")</f>
      </c>
      <c r="P191" s="18">
        <f>IF(AND(N191&gt;0,O191&gt;0),N191*O191,"")</f>
      </c>
    </row>
    <row r="192" spans="1:16" x14ac:dyDescent="0.25">
      <c r="A192" s="11"/>
      <c r="B192" s="11"/>
      <c r="C192" s="11"/>
      <c r="D192" s="11"/>
      <c r="E192" s="11"/>
      <c r="F192" s="11"/>
      <c r="G192" s="12"/>
      <c r="H192" s="13"/>
      <c r="I192" s="14"/>
      <c r="J192" s="14"/>
      <c r="K192" s="15">
        <f>IF(AND(G192&gt;0,H192&gt;0,I192&gt;0),(ROUNDUP(H192*12/G192,0)+1)*I192,"")</f>
      </c>
      <c r="L192" s="15">
        <f>IF(J192&gt;0,J192,IF(K192&gt;0,K192,""))</f>
      </c>
      <c r="M192" s="13"/>
      <c r="N192" s="16">
        <f>IF(AND(L192&gt;0,M192&gt;0),L192*M192,"")</f>
      </c>
      <c r="O192" s="17">
        <f>IFERROR(VLOOKUP(E192,'Bar Weights'!$A$3:$B$13,2,FALSE),"")</f>
      </c>
      <c r="P192" s="18">
        <f>IF(AND(N192&gt;0,O192&gt;0),N192*O192,"")</f>
      </c>
    </row>
    <row r="193" spans="1:16" x14ac:dyDescent="0.25">
      <c r="A193" s="11"/>
      <c r="B193" s="11"/>
      <c r="C193" s="11"/>
      <c r="D193" s="11"/>
      <c r="E193" s="11"/>
      <c r="F193" s="11"/>
      <c r="G193" s="12"/>
      <c r="H193" s="13"/>
      <c r="I193" s="14"/>
      <c r="J193" s="14"/>
      <c r="K193" s="15">
        <f>IF(AND(G193&gt;0,H193&gt;0,I193&gt;0),(ROUNDUP(H193*12/G193,0)+1)*I193,"")</f>
      </c>
      <c r="L193" s="15">
        <f>IF(J193&gt;0,J193,IF(K193&gt;0,K193,""))</f>
      </c>
      <c r="M193" s="13"/>
      <c r="N193" s="16">
        <f>IF(AND(L193&gt;0,M193&gt;0),L193*M193,"")</f>
      </c>
      <c r="O193" s="17">
        <f>IFERROR(VLOOKUP(E193,'Bar Weights'!$A$3:$B$13,2,FALSE),"")</f>
      </c>
      <c r="P193" s="18">
        <f>IF(AND(N193&gt;0,O193&gt;0),N193*O193,"")</f>
      </c>
    </row>
    <row r="194" spans="1:16" x14ac:dyDescent="0.25">
      <c r="A194" s="11"/>
      <c r="B194" s="11"/>
      <c r="C194" s="11"/>
      <c r="D194" s="11"/>
      <c r="E194" s="11"/>
      <c r="F194" s="11"/>
      <c r="G194" s="12"/>
      <c r="H194" s="13"/>
      <c r="I194" s="14"/>
      <c r="J194" s="14"/>
      <c r="K194" s="15">
        <f>IF(AND(G194&gt;0,H194&gt;0,I194&gt;0),(ROUNDUP(H194*12/G194,0)+1)*I194,"")</f>
      </c>
      <c r="L194" s="15">
        <f>IF(J194&gt;0,J194,IF(K194&gt;0,K194,""))</f>
      </c>
      <c r="M194" s="13"/>
      <c r="N194" s="16">
        <f>IF(AND(L194&gt;0,M194&gt;0),L194*M194,"")</f>
      </c>
      <c r="O194" s="17">
        <f>IFERROR(VLOOKUP(E194,'Bar Weights'!$A$3:$B$13,2,FALSE),"")</f>
      </c>
      <c r="P194" s="18">
        <f>IF(AND(N194&gt;0,O194&gt;0),N194*O194,"")</f>
      </c>
    </row>
    <row r="195" spans="1:16" x14ac:dyDescent="0.25">
      <c r="A195" s="11"/>
      <c r="B195" s="11"/>
      <c r="C195" s="11"/>
      <c r="D195" s="11"/>
      <c r="E195" s="11"/>
      <c r="F195" s="11"/>
      <c r="G195" s="12"/>
      <c r="H195" s="13"/>
      <c r="I195" s="14"/>
      <c r="J195" s="14"/>
      <c r="K195" s="15">
        <f>IF(AND(G195&gt;0,H195&gt;0,I195&gt;0),(ROUNDUP(H195*12/G195,0)+1)*I195,"")</f>
      </c>
      <c r="L195" s="15">
        <f>IF(J195&gt;0,J195,IF(K195&gt;0,K195,""))</f>
      </c>
      <c r="M195" s="13"/>
      <c r="N195" s="16">
        <f>IF(AND(L195&gt;0,M195&gt;0),L195*M195,"")</f>
      </c>
      <c r="O195" s="17">
        <f>IFERROR(VLOOKUP(E195,'Bar Weights'!$A$3:$B$13,2,FALSE),"")</f>
      </c>
      <c r="P195" s="18">
        <f>IF(AND(N195&gt;0,O195&gt;0),N195*O195,"")</f>
      </c>
    </row>
    <row r="196" spans="1:16" x14ac:dyDescent="0.25">
      <c r="A196" s="11"/>
      <c r="B196" s="11"/>
      <c r="C196" s="11"/>
      <c r="D196" s="11"/>
      <c r="E196" s="11"/>
      <c r="F196" s="11"/>
      <c r="G196" s="12"/>
      <c r="H196" s="13"/>
      <c r="I196" s="14"/>
      <c r="J196" s="14"/>
      <c r="K196" s="15">
        <f>IF(AND(G196&gt;0,H196&gt;0,I196&gt;0),(ROUNDUP(H196*12/G196,0)+1)*I196,"")</f>
      </c>
      <c r="L196" s="15">
        <f>IF(J196&gt;0,J196,IF(K196&gt;0,K196,""))</f>
      </c>
      <c r="M196" s="13"/>
      <c r="N196" s="16">
        <f>IF(AND(L196&gt;0,M196&gt;0),L196*M196,"")</f>
      </c>
      <c r="O196" s="17">
        <f>IFERROR(VLOOKUP(E196,'Bar Weights'!$A$3:$B$13,2,FALSE),"")</f>
      </c>
      <c r="P196" s="18">
        <f>IF(AND(N196&gt;0,O196&gt;0),N196*O196,"")</f>
      </c>
    </row>
    <row r="197" spans="1:16" x14ac:dyDescent="0.25">
      <c r="A197" s="11"/>
      <c r="B197" s="11"/>
      <c r="C197" s="11"/>
      <c r="D197" s="11"/>
      <c r="E197" s="11"/>
      <c r="F197" s="11"/>
      <c r="G197" s="12"/>
      <c r="H197" s="13"/>
      <c r="I197" s="14"/>
      <c r="J197" s="14"/>
      <c r="K197" s="15">
        <f>IF(AND(G197&gt;0,H197&gt;0,I197&gt;0),(ROUNDUP(H197*12/G197,0)+1)*I197,"")</f>
      </c>
      <c r="L197" s="15">
        <f>IF(J197&gt;0,J197,IF(K197&gt;0,K197,""))</f>
      </c>
      <c r="M197" s="13"/>
      <c r="N197" s="16">
        <f>IF(AND(L197&gt;0,M197&gt;0),L197*M197,"")</f>
      </c>
      <c r="O197" s="17">
        <f>IFERROR(VLOOKUP(E197,'Bar Weights'!$A$3:$B$13,2,FALSE),"")</f>
      </c>
      <c r="P197" s="18">
        <f>IF(AND(N197&gt;0,O197&gt;0),N197*O197,"")</f>
      </c>
    </row>
    <row r="198" spans="1:16" x14ac:dyDescent="0.25">
      <c r="A198" s="11"/>
      <c r="B198" s="11"/>
      <c r="C198" s="11"/>
      <c r="D198" s="11"/>
      <c r="E198" s="11"/>
      <c r="F198" s="11"/>
      <c r="G198" s="12"/>
      <c r="H198" s="13"/>
      <c r="I198" s="14"/>
      <c r="J198" s="14"/>
      <c r="K198" s="15">
        <f>IF(AND(G198&gt;0,H198&gt;0,I198&gt;0),(ROUNDUP(H198*12/G198,0)+1)*I198,"")</f>
      </c>
      <c r="L198" s="15">
        <f>IF(J198&gt;0,J198,IF(K198&gt;0,K198,""))</f>
      </c>
      <c r="M198" s="13"/>
      <c r="N198" s="16">
        <f>IF(AND(L198&gt;0,M198&gt;0),L198*M198,"")</f>
      </c>
      <c r="O198" s="17">
        <f>IFERROR(VLOOKUP(E198,'Bar Weights'!$A$3:$B$13,2,FALSE),"")</f>
      </c>
      <c r="P198" s="18">
        <f>IF(AND(N198&gt;0,O198&gt;0),N198*O198,"")</f>
      </c>
    </row>
    <row r="199" spans="1:16" x14ac:dyDescent="0.25">
      <c r="A199" s="11"/>
      <c r="B199" s="11"/>
      <c r="C199" s="11"/>
      <c r="D199" s="11"/>
      <c r="E199" s="11"/>
      <c r="F199" s="11"/>
      <c r="G199" s="12"/>
      <c r="H199" s="13"/>
      <c r="I199" s="14"/>
      <c r="J199" s="14"/>
      <c r="K199" s="15">
        <f>IF(AND(G199&gt;0,H199&gt;0,I199&gt;0),(ROUNDUP(H199*12/G199,0)+1)*I199,"")</f>
      </c>
      <c r="L199" s="15">
        <f>IF(J199&gt;0,J199,IF(K199&gt;0,K199,""))</f>
      </c>
      <c r="M199" s="13"/>
      <c r="N199" s="16">
        <f>IF(AND(L199&gt;0,M199&gt;0),L199*M199,"")</f>
      </c>
      <c r="O199" s="17">
        <f>IFERROR(VLOOKUP(E199,'Bar Weights'!$A$3:$B$13,2,FALSE),"")</f>
      </c>
      <c r="P199" s="18">
        <f>IF(AND(N199&gt;0,O199&gt;0),N199*O199,"")</f>
      </c>
    </row>
    <row r="200" spans="1:16" x14ac:dyDescent="0.25">
      <c r="A200" s="11"/>
      <c r="B200" s="11"/>
      <c r="C200" s="11"/>
      <c r="D200" s="11"/>
      <c r="E200" s="11"/>
      <c r="F200" s="11"/>
      <c r="G200" s="12"/>
      <c r="H200" s="13"/>
      <c r="I200" s="14"/>
      <c r="J200" s="14"/>
      <c r="K200" s="15">
        <f>IF(AND(G200&gt;0,H200&gt;0,I200&gt;0),(ROUNDUP(H200*12/G200,0)+1)*I200,"")</f>
      </c>
      <c r="L200" s="15">
        <f>IF(J200&gt;0,J200,IF(K200&gt;0,K200,""))</f>
      </c>
      <c r="M200" s="13"/>
      <c r="N200" s="16">
        <f>IF(AND(L200&gt;0,M200&gt;0),L200*M200,"")</f>
      </c>
      <c r="O200" s="17">
        <f>IFERROR(VLOOKUP(E200,'Bar Weights'!$A$3:$B$13,2,FALSE),"")</f>
      </c>
      <c r="P200" s="18">
        <f>IF(AND(N200&gt;0,O200&gt;0),N200*O200,"")</f>
      </c>
    </row>
    <row r="201" spans="1:16" x14ac:dyDescent="0.25">
      <c r="A201" s="11"/>
      <c r="B201" s="11"/>
      <c r="C201" s="11"/>
      <c r="D201" s="11"/>
      <c r="E201" s="11"/>
      <c r="F201" s="11"/>
      <c r="G201" s="12"/>
      <c r="H201" s="13"/>
      <c r="I201" s="14"/>
      <c r="J201" s="14"/>
      <c r="K201" s="15">
        <f>IF(AND(G201&gt;0,H201&gt;0,I201&gt;0),(ROUNDUP(H201*12/G201,0)+1)*I201,"")</f>
      </c>
      <c r="L201" s="15">
        <f>IF(J201&gt;0,J201,IF(K201&gt;0,K201,""))</f>
      </c>
      <c r="M201" s="13"/>
      <c r="N201" s="16">
        <f>IF(AND(L201&gt;0,M201&gt;0),L201*M201,"")</f>
      </c>
      <c r="O201" s="17">
        <f>IFERROR(VLOOKUP(E201,'Bar Weights'!$A$3:$B$13,2,FALSE),"")</f>
      </c>
      <c r="P201" s="18">
        <f>IF(AND(N201&gt;0,O201&gt;0),N201*O201,"")</f>
      </c>
    </row>
    <row r="202" spans="1:16" x14ac:dyDescent="0.25">
      <c r="A202" s="11"/>
      <c r="B202" s="11"/>
      <c r="C202" s="11"/>
      <c r="D202" s="11"/>
      <c r="E202" s="11"/>
      <c r="F202" s="11"/>
      <c r="G202" s="12"/>
      <c r="H202" s="13"/>
      <c r="I202" s="14"/>
      <c r="J202" s="14"/>
      <c r="K202" s="15">
        <f>IF(AND(G202&gt;0,H202&gt;0,I202&gt;0),(ROUNDUP(H202*12/G202,0)+1)*I202,"")</f>
      </c>
      <c r="L202" s="15">
        <f>IF(J202&gt;0,J202,IF(K202&gt;0,K202,""))</f>
      </c>
      <c r="M202" s="13"/>
      <c r="N202" s="16">
        <f>IF(AND(L202&gt;0,M202&gt;0),L202*M202,"")</f>
      </c>
      <c r="O202" s="17">
        <f>IFERROR(VLOOKUP(E202,'Bar Weights'!$A$3:$B$13,2,FALSE),"")</f>
      </c>
      <c r="P202" s="18">
        <f>IF(AND(N202&gt;0,O202&gt;0),N202*O202,"")</f>
      </c>
    </row>
    <row r="203" spans="1:16" x14ac:dyDescent="0.25">
      <c r="A203" s="11"/>
      <c r="B203" s="11"/>
      <c r="C203" s="11"/>
      <c r="D203" s="11"/>
      <c r="E203" s="11"/>
      <c r="F203" s="11"/>
      <c r="G203" s="12"/>
      <c r="H203" s="13"/>
      <c r="I203" s="14"/>
      <c r="J203" s="14"/>
      <c r="K203" s="15">
        <f>IF(AND(G203&gt;0,H203&gt;0,I203&gt;0),(ROUNDUP(H203*12/G203,0)+1)*I203,"")</f>
      </c>
      <c r="L203" s="15">
        <f>IF(J203&gt;0,J203,IF(K203&gt;0,K203,""))</f>
      </c>
      <c r="M203" s="13"/>
      <c r="N203" s="16">
        <f>IF(AND(L203&gt;0,M203&gt;0),L203*M203,"")</f>
      </c>
      <c r="O203" s="17">
        <f>IFERROR(VLOOKUP(E203,'Bar Weights'!$A$3:$B$13,2,FALSE),"")</f>
      </c>
      <c r="P203" s="18">
        <f>IF(AND(N203&gt;0,O203&gt;0),N203*O203,"")</f>
      </c>
    </row>
    <row r="204" spans="1:16" x14ac:dyDescent="0.25">
      <c r="A204" s="11"/>
      <c r="B204" s="11"/>
      <c r="C204" s="11"/>
      <c r="D204" s="11"/>
      <c r="E204" s="11"/>
      <c r="F204" s="11"/>
      <c r="G204" s="12"/>
      <c r="H204" s="13"/>
      <c r="I204" s="14"/>
      <c r="J204" s="14"/>
      <c r="K204" s="15">
        <f>IF(AND(G204&gt;0,H204&gt;0,I204&gt;0),(ROUNDUP(H204*12/G204,0)+1)*I204,"")</f>
      </c>
      <c r="L204" s="15">
        <f>IF(J204&gt;0,J204,IF(K204&gt;0,K204,""))</f>
      </c>
      <c r="M204" s="13"/>
      <c r="N204" s="16">
        <f>IF(AND(L204&gt;0,M204&gt;0),L204*M204,"")</f>
      </c>
      <c r="O204" s="17">
        <f>IFERROR(VLOOKUP(E204,'Bar Weights'!$A$3:$B$13,2,FALSE),"")</f>
      </c>
      <c r="P204" s="18">
        <f>IF(AND(N204&gt;0,O204&gt;0),N204*O204,"")</f>
      </c>
    </row>
    <row r="205" spans="1:16" x14ac:dyDescent="0.25">
      <c r="A205" s="11"/>
      <c r="B205" s="11"/>
      <c r="C205" s="11"/>
      <c r="D205" s="11"/>
      <c r="E205" s="11"/>
      <c r="F205" s="11"/>
      <c r="G205" s="12"/>
      <c r="H205" s="13"/>
      <c r="I205" s="14"/>
      <c r="J205" s="14"/>
      <c r="K205" s="15">
        <f>IF(AND(G205&gt;0,H205&gt;0,I205&gt;0),(ROUNDUP(H205*12/G205,0)+1)*I205,"")</f>
      </c>
      <c r="L205" s="15">
        <f>IF(J205&gt;0,J205,IF(K205&gt;0,K205,""))</f>
      </c>
      <c r="M205" s="13"/>
      <c r="N205" s="16">
        <f>IF(AND(L205&gt;0,M205&gt;0),L205*M205,"")</f>
      </c>
      <c r="O205" s="17">
        <f>IFERROR(VLOOKUP(E205,'Bar Weights'!$A$3:$B$13,2,FALSE),"")</f>
      </c>
      <c r="P205" s="18">
        <f>IF(AND(N205&gt;0,O205&gt;0),N205*O205,"")</f>
      </c>
    </row>
  </sheetData>
  <autoFilter ref="A5:P205"/>
  <mergeCells count="3">
    <mergeCell ref="A1:P1"/>
    <mergeCell ref="A2:P2"/>
    <mergeCell ref="A4:P4"/>
  </mergeCells>
  <dataValidations count="3">
    <dataValidation type="list" allowBlank="1" sqref="C6:C205">
      <formula1>"Footing,Column,Beam,Slab,Wall,Stair,Other"</formula1>
    </dataValidation>
    <dataValidation type="list" allowBlank="1" sqref="E6:E205">
      <formula1>"#3,#4,#5,#6,#7,#8,#9,#10,#11,#14,#18"</formula1>
    </dataValidation>
    <dataValidation type="list" allowBlank="1" sqref="F6:F205">
      <formula1>"Straight,Stirrup/Tie,L-Bar,U-Bar,Hooked,Other"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8" customWidth="1"/>
    <col min="2" max="2" width="21" style="19" customWidth="1"/>
    <col min="3" max="3" width="22" style="5" customWidth="1"/>
    <col min="4" max="4" width="16" style="3" customWidth="1"/>
    <col min="5" max="5" width="4" customWidth="1"/>
    <col min="6" max="6" width="18" customWidth="1"/>
    <col min="7" max="7" width="24" style="5" customWidth="1"/>
  </cols>
  <sheetData>
    <row r="1" ht="28" customHeight="1" spans="1:7" x14ac:dyDescent="0.25">
      <c r="A1" s="6" t="s">
        <v>19</v>
      </c>
      <c r="B1" s="5"/>
      <c r="C1" s="5"/>
      <c r="D1" s="5"/>
      <c r="E1" s="5"/>
      <c r="F1" s="5"/>
      <c r="G1" s="5"/>
    </row>
    <row r="3" spans="1:7" x14ac:dyDescent="0.25">
      <c r="A3" s="20" t="s">
        <v>18</v>
      </c>
      <c r="B3" s="21">
        <f>SUM(Takeoff!P6:P205)</f>
      </c>
      <c r="C3" s="5"/>
      <c r="D3" s="22" t="s">
        <v>16</v>
      </c>
      <c r="E3" s="21">
        <f>SUM(Takeoff!N6:N205)</f>
      </c>
      <c r="G3" s="5"/>
    </row>
    <row r="5" spans="1:7" x14ac:dyDescent="0.25">
      <c r="A5" s="10" t="s">
        <v>20</v>
      </c>
      <c r="B5" s="10" t="s">
        <v>21</v>
      </c>
      <c r="C5" s="10" t="s">
        <v>22</v>
      </c>
      <c r="D5" s="10" t="s">
        <v>23</v>
      </c>
      <c r="F5" s="10" t="s">
        <v>24</v>
      </c>
      <c r="G5" s="10" t="s">
        <v>22</v>
      </c>
    </row>
    <row r="6" spans="1:7" x14ac:dyDescent="0.25">
      <c r="A6" t="s">
        <v>25</v>
      </c>
      <c r="B6" s="19">
        <f>SUMIF(Takeoff!$E$6:$E$205,A6,Takeoff!$N$6:$N$205)</f>
      </c>
      <c r="C6" s="5">
        <f>SUMIF(Takeoff!$E$6:$E$205,A6,Takeoff!$P$6:$P$205)</f>
      </c>
      <c r="D6" s="3">
        <f>SUMIF(Takeoff!$E$6:$E$205,A6,Takeoff!$L$6:$L$205)</f>
      </c>
      <c r="F6" t="s">
        <v>26</v>
      </c>
      <c r="G6" s="5">
        <f>SUMIF(Takeoff!$C$6:$C$205,F6,Takeoff!$P$6:$P$205)</f>
      </c>
    </row>
    <row r="7" spans="1:7" x14ac:dyDescent="0.25">
      <c r="A7" t="s">
        <v>27</v>
      </c>
      <c r="B7" s="19">
        <f>SUMIF(Takeoff!$E$6:$E$205,A7,Takeoff!$N$6:$N$205)</f>
      </c>
      <c r="C7" s="5">
        <f>SUMIF(Takeoff!$E$6:$E$205,A7,Takeoff!$P$6:$P$205)</f>
      </c>
      <c r="D7" s="3">
        <f>SUMIF(Takeoff!$E$6:$E$205,A7,Takeoff!$L$6:$L$205)</f>
      </c>
      <c r="F7" t="s">
        <v>28</v>
      </c>
      <c r="G7" s="5">
        <f>SUMIF(Takeoff!$C$6:$C$205,F7,Takeoff!$P$6:$P$205)</f>
      </c>
    </row>
    <row r="8" spans="1:7" x14ac:dyDescent="0.25">
      <c r="A8" t="s">
        <v>29</v>
      </c>
      <c r="B8" s="19">
        <f>SUMIF(Takeoff!$E$6:$E$205,A8,Takeoff!$N$6:$N$205)</f>
      </c>
      <c r="C8" s="5">
        <f>SUMIF(Takeoff!$E$6:$E$205,A8,Takeoff!$P$6:$P$205)</f>
      </c>
      <c r="D8" s="3">
        <f>SUMIF(Takeoff!$E$6:$E$205,A8,Takeoff!$L$6:$L$205)</f>
      </c>
      <c r="F8" t="s">
        <v>30</v>
      </c>
      <c r="G8" s="5">
        <f>SUMIF(Takeoff!$C$6:$C$205,F8,Takeoff!$P$6:$P$205)</f>
      </c>
    </row>
    <row r="9" spans="1:7" x14ac:dyDescent="0.25">
      <c r="A9" t="s">
        <v>31</v>
      </c>
      <c r="B9" s="19">
        <f>SUMIF(Takeoff!$E$6:$E$205,A9,Takeoff!$N$6:$N$205)</f>
      </c>
      <c r="C9" s="5">
        <f>SUMIF(Takeoff!$E$6:$E$205,A9,Takeoff!$P$6:$P$205)</f>
      </c>
      <c r="D9" s="3">
        <f>SUMIF(Takeoff!$E$6:$E$205,A9,Takeoff!$L$6:$L$205)</f>
      </c>
      <c r="F9" t="s">
        <v>32</v>
      </c>
      <c r="G9" s="5">
        <f>SUMIF(Takeoff!$C$6:$C$205,F9,Takeoff!$P$6:$P$205)</f>
      </c>
    </row>
    <row r="10" spans="1:7" x14ac:dyDescent="0.25">
      <c r="A10" t="s">
        <v>33</v>
      </c>
      <c r="B10" s="19">
        <f>SUMIF(Takeoff!$E$6:$E$205,A10,Takeoff!$N$6:$N$205)</f>
      </c>
      <c r="C10" s="5">
        <f>SUMIF(Takeoff!$E$6:$E$205,A10,Takeoff!$P$6:$P$205)</f>
      </c>
      <c r="D10" s="3">
        <f>SUMIF(Takeoff!$E$6:$E$205,A10,Takeoff!$L$6:$L$205)</f>
      </c>
      <c r="F10" t="s">
        <v>34</v>
      </c>
      <c r="G10" s="5">
        <f>SUMIF(Takeoff!$C$6:$C$205,F10,Takeoff!$P$6:$P$205)</f>
      </c>
    </row>
    <row r="11" spans="1:7" x14ac:dyDescent="0.25">
      <c r="A11" t="s">
        <v>35</v>
      </c>
      <c r="B11" s="19">
        <f>SUMIF(Takeoff!$E$6:$E$205,A11,Takeoff!$N$6:$N$205)</f>
      </c>
      <c r="C11" s="5">
        <f>SUMIF(Takeoff!$E$6:$E$205,A11,Takeoff!$P$6:$P$205)</f>
      </c>
      <c r="D11" s="3">
        <f>SUMIF(Takeoff!$E$6:$E$205,A11,Takeoff!$L$6:$L$205)</f>
      </c>
      <c r="F11" t="s">
        <v>36</v>
      </c>
      <c r="G11" s="5">
        <f>SUMIF(Takeoff!$C$6:$C$205,F11,Takeoff!$P$6:$P$205)</f>
      </c>
    </row>
    <row r="12" spans="1:7" x14ac:dyDescent="0.25">
      <c r="A12" t="s">
        <v>37</v>
      </c>
      <c r="B12" s="19">
        <f>SUMIF(Takeoff!$E$6:$E$205,A12,Takeoff!$N$6:$N$205)</f>
      </c>
      <c r="C12" s="5">
        <f>SUMIF(Takeoff!$E$6:$E$205,A12,Takeoff!$P$6:$P$205)</f>
      </c>
      <c r="D12" s="3">
        <f>SUMIF(Takeoff!$E$6:$E$205,A12,Takeoff!$L$6:$L$205)</f>
      </c>
      <c r="F12" t="s">
        <v>38</v>
      </c>
      <c r="G12" s="5">
        <f>SUMIF(Takeoff!$C$6:$C$205,F12,Takeoff!$P$6:$P$205)</f>
      </c>
    </row>
    <row r="13" spans="1:7" x14ac:dyDescent="0.25">
      <c r="A13" t="s">
        <v>39</v>
      </c>
      <c r="B13" s="19">
        <f>SUMIF(Takeoff!$E$6:$E$205,A13,Takeoff!$N$6:$N$205)</f>
      </c>
      <c r="C13" s="5">
        <f>SUMIF(Takeoff!$E$6:$E$205,A13,Takeoff!$P$6:$P$205)</f>
      </c>
      <c r="D13" s="3">
        <f>SUMIF(Takeoff!$E$6:$E$205,A13,Takeoff!$L$6:$L$205)</f>
      </c>
      <c r="G13" s="5"/>
    </row>
    <row r="14" spans="1:7" x14ac:dyDescent="0.25">
      <c r="A14" t="s">
        <v>40</v>
      </c>
      <c r="B14" s="19">
        <f>SUMIF(Takeoff!$E$6:$E$205,A14,Takeoff!$N$6:$N$205)</f>
      </c>
      <c r="C14" s="5">
        <f>SUMIF(Takeoff!$E$6:$E$205,A14,Takeoff!$P$6:$P$205)</f>
      </c>
      <c r="D14" s="3">
        <f>SUMIF(Takeoff!$E$6:$E$205,A14,Takeoff!$L$6:$L$205)</f>
      </c>
      <c r="G14" s="5"/>
    </row>
    <row r="15" spans="1:7" x14ac:dyDescent="0.25">
      <c r="A15" t="s">
        <v>41</v>
      </c>
      <c r="B15" s="19">
        <f>SUMIF(Takeoff!$E$6:$E$205,A15,Takeoff!$N$6:$N$205)</f>
      </c>
      <c r="C15" s="5">
        <f>SUMIF(Takeoff!$E$6:$E$205,A15,Takeoff!$P$6:$P$205)</f>
      </c>
      <c r="D15" s="3">
        <f>SUMIF(Takeoff!$E$6:$E$205,A15,Takeoff!$L$6:$L$205)</f>
      </c>
      <c r="G15" s="5"/>
    </row>
    <row r="16" spans="1:7" x14ac:dyDescent="0.25">
      <c r="A16" t="s">
        <v>42</v>
      </c>
      <c r="B16" s="19">
        <f>SUMIF(Takeoff!$E$6:$E$205,A16,Takeoff!$N$6:$N$205)</f>
      </c>
      <c r="C16" s="5">
        <f>SUMIF(Takeoff!$E$6:$E$205,A16,Takeoff!$P$6:$P$205)</f>
      </c>
      <c r="D16" s="3">
        <f>SUMIF(Takeoff!$E$6:$E$205,A16,Takeoff!$L$6:$L$205)</f>
      </c>
      <c r="G16" s="5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6" customWidth="1"/>
    <col min="2" max="2" width="105" customWidth="1"/>
  </cols>
  <sheetData>
    <row r="1" ht="28" customHeight="1" spans="1:2" x14ac:dyDescent="0.25">
      <c r="A1" s="6" t="s">
        <v>43</v>
      </c>
      <c r="B1"/>
    </row>
    <row r="2" spans="1:1" x14ac:dyDescent="0.25">
      <c r="A2" s="23" t="s">
        <v>44</v>
      </c>
    </row>
    <row r="3" spans="1:2" x14ac:dyDescent="0.25">
      <c r="A3" s="10" t="s">
        <v>45</v>
      </c>
      <c r="B3" s="10" t="s">
        <v>46</v>
      </c>
    </row>
    <row r="4" ht="32" customHeight="1" spans="1:2" x14ac:dyDescent="0.25">
      <c r="A4" t="s">
        <v>47</v>
      </c>
      <c r="B4" s="24" t="s">
        <v>48</v>
      </c>
    </row>
    <row r="5" ht="30" customHeight="1" spans="1:2" x14ac:dyDescent="0.25">
      <c r="A5" t="s">
        <v>49</v>
      </c>
      <c r="B5" s="24" t="s">
        <v>50</v>
      </c>
    </row>
    <row r="6" ht="42" customHeight="1" spans="1:2" x14ac:dyDescent="0.25">
      <c r="A6" t="s">
        <v>51</v>
      </c>
      <c r="B6" s="24" t="s">
        <v>52</v>
      </c>
    </row>
    <row r="7" ht="30" customHeight="1" spans="1:2" x14ac:dyDescent="0.25">
      <c r="A7" t="s">
        <v>53</v>
      </c>
      <c r="B7" s="24" t="s">
        <v>54</v>
      </c>
    </row>
    <row r="8" ht="30" customHeight="1" spans="1:2" x14ac:dyDescent="0.25">
      <c r="A8" t="s">
        <v>55</v>
      </c>
      <c r="B8" s="24" t="s">
        <v>56</v>
      </c>
    </row>
    <row r="9" ht="32" customHeight="1" spans="1:2" x14ac:dyDescent="0.25">
      <c r="A9" t="s">
        <v>57</v>
      </c>
      <c r="B9" s="24" t="s">
        <v>58</v>
      </c>
    </row>
    <row r="10" ht="34" customHeight="1" spans="1:2" x14ac:dyDescent="0.25">
      <c r="A10" t="s">
        <v>59</v>
      </c>
      <c r="B10" s="24" t="s">
        <v>60</v>
      </c>
    </row>
    <row r="11" ht="38" customHeight="1" spans="1:2" x14ac:dyDescent="0.25">
      <c r="A11" t="s">
        <v>59</v>
      </c>
      <c r="B11" s="24" t="s">
        <v>61</v>
      </c>
    </row>
    <row r="12" ht="42" customHeight="1" spans="1:2" x14ac:dyDescent="0.25">
      <c r="A12" t="s">
        <v>59</v>
      </c>
      <c r="B12" s="24" t="s">
        <v>62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8" customWidth="1"/>
    <col min="2" max="2" width="24" customWidth="1"/>
  </cols>
  <sheetData>
    <row r="1" ht="28" customHeight="1" spans="1:2" x14ac:dyDescent="0.25">
      <c r="A1" s="6" t="s">
        <v>63</v>
      </c>
      <c r="B1"/>
    </row>
    <row r="2" spans="1:2" x14ac:dyDescent="0.25">
      <c r="A2" s="10" t="s">
        <v>7</v>
      </c>
      <c r="B2" s="10" t="s">
        <v>64</v>
      </c>
    </row>
    <row r="3" spans="1:2" x14ac:dyDescent="0.25">
      <c r="A3" t="s">
        <v>25</v>
      </c>
      <c r="B3" s="4">
        <v>0.376</v>
      </c>
    </row>
    <row r="4" spans="1:2" x14ac:dyDescent="0.25">
      <c r="A4" t="s">
        <v>27</v>
      </c>
      <c r="B4" s="4">
        <v>0.668</v>
      </c>
    </row>
    <row r="5" spans="1:2" x14ac:dyDescent="0.25">
      <c r="A5" t="s">
        <v>29</v>
      </c>
      <c r="B5" s="4">
        <v>1.043</v>
      </c>
    </row>
    <row r="6" spans="1:2" x14ac:dyDescent="0.25">
      <c r="A6" t="s">
        <v>31</v>
      </c>
      <c r="B6" s="4">
        <v>1.502</v>
      </c>
    </row>
    <row r="7" spans="1:2" x14ac:dyDescent="0.25">
      <c r="A7" t="s">
        <v>33</v>
      </c>
      <c r="B7" s="4">
        <v>2.044</v>
      </c>
    </row>
    <row r="8" spans="1:2" x14ac:dyDescent="0.25">
      <c r="A8" t="s">
        <v>35</v>
      </c>
      <c r="B8" s="4">
        <v>2.67</v>
      </c>
    </row>
    <row r="9" spans="1:2" x14ac:dyDescent="0.25">
      <c r="A9" t="s">
        <v>37</v>
      </c>
      <c r="B9" s="4">
        <v>3.4</v>
      </c>
    </row>
    <row r="10" spans="1:2" x14ac:dyDescent="0.25">
      <c r="A10" t="s">
        <v>39</v>
      </c>
      <c r="B10" s="4">
        <v>4.303</v>
      </c>
    </row>
    <row r="11" spans="1:2" x14ac:dyDescent="0.25">
      <c r="A11" t="s">
        <v>40</v>
      </c>
      <c r="B11" s="4">
        <v>5.313</v>
      </c>
    </row>
    <row r="12" spans="1:2" x14ac:dyDescent="0.25">
      <c r="A12" t="s">
        <v>41</v>
      </c>
      <c r="B12" s="4">
        <v>7.65</v>
      </c>
    </row>
    <row r="13" spans="1:2" x14ac:dyDescent="0.25">
      <c r="A13" t="s">
        <v>42</v>
      </c>
      <c r="B13" s="4">
        <v>13.6</v>
      </c>
    </row>
    <row r="15" ht="30" customHeight="1" spans="1:2" x14ac:dyDescent="0.25">
      <c r="A15" t="s">
        <v>65</v>
      </c>
      <c r="B15" s="24" t="s">
        <v>66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Takeoff</vt:lpstr>
      <vt:lpstr>Summary</vt:lpstr>
      <vt:lpstr>Read Me</vt:lpstr>
      <vt:lpstr>Bar Weights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>Rebar Estimation Takeoff</dc:title>
  <dc:subject>Imperial rebar quantity, length, and weight takeoff template</dc:subject>
  <dc:description/>
  <cp:keywords/>
  <cp:category/>
  <cp:lastModifiedBy>Unknown</cp:lastModifiedBy>
  <dcterms:created xsi:type="dcterms:W3CDTF">2026-10-19T13:50:00Z</dcterms:created>
  <dcterms:modified xsi:type="dcterms:W3CDTF">2026-10-19T13:50:00Z</dcterms:modified>
</cp:coreProperties>
</file>